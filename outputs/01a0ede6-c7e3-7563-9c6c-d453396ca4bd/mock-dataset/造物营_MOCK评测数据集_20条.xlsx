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692277a00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用例" sheetId="1" r:id="R8925087ab4df47ea"/>
    <x:sheet xmlns:r="http://schemas.openxmlformats.org/officeDocument/2006/relationships" name="用例概览" sheetId="2" r:id="Rc2b94158b677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302C29"/>
      <x:name val="Arial"/>
    </x:font>
    <x:font>
      <x:b/>
      <x:sz val="10"/>
      <x:color rgb="FFFFFFFF"/>
      <x:name val="Arial"/>
    </x:font>
    <x:font>
      <x:b/>
      <x:sz val="16"/>
      <x:color rgb="FF7A4A33"/>
      <x:name val="Arial"/>
    </x:font>
    <x:font>
      <x:b/>
      <x:sz val="12"/>
      <x:color rgb="FF7A4A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A4A33"/>
      </x:patternFill>
    </x:fill>
    <x:fill>
      <x:patternFill patternType="solid">
        <x:fgColor rgb="FFFAF6F0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82D20"/>
      </x:font>
      <x:fill>
        <x:patternFill patternType="solid">
          <x:bgColor rgb="FFFCE6E1"/>
        </x:patternFill>
      </x:fill>
    </x:dxf>
    <x:dxf>
      <x:font>
        <x:b/>
        <x:color rgb="FF982D20"/>
      </x:font>
      <x:fill>
        <x:patternFill patternType="solid">
          <x:bgColor rgb="FFFCE6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7536d1a8f4f32" /><Relationship Type="http://schemas.openxmlformats.org/officeDocument/2006/relationships/theme" Target="/xl/theme/theme1.xml" Id="R285ad961d0944043" /><Relationship Type="http://schemas.microsoft.com/office/2022/11/relationships/FeaturePropertyBag" Target="/xl/featurePropertyBag/featurePropertyBag.xml" Id="R87fadf134f584a83" /><Relationship Type="http://schemas.openxmlformats.org/officeDocument/2006/relationships/sharedStrings" Target="/xl/sharedStrings.xml" Id="R58c6d9b71af44d6d" /><Relationship Type="http://schemas.openxmlformats.org/officeDocument/2006/relationships/worksheet" Target="/xl/worksheets/sheet1.xml" Id="R8925087ab4df47ea" /><Relationship Type="http://schemas.openxmlformats.org/officeDocument/2006/relationships/worksheet" Target="/xl/worksheets/sheet2.xml" Id="Rc2b94158b67744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ckEvaluationCases" displayName="MockEvaluationCases" ref="A1:N21" headerRowCount="1" totalsRowCount="0" totalsRowShown="0">
  <x:tableColumns count="14">
    <x:tableColumn id="1" name="case_id"/>
    <x:tableColumn id="2" name="scenario_id"/>
    <x:tableColumn id="3" name="case_group"/>
    <x:tableColumn id="4" name="scenario"/>
    <x:tableColumn id="5" name="question"/>
    <x:tableColumn id="6" name="reference_output"/>
    <x:tableColumn id="7" name="mock_actual_output"/>
    <x:tableColumn id="8" name="expected_mock_verdict"/>
    <x:tableColumn id="9" name="expected_badcase"/>
    <x:tableColumn id="10" name="expected_stage"/>
    <x:tableColumn id="11" name="expected_reason"/>
    <x:tableColumn id="12" name="is_simulated"/>
    <x:tableColumn id="13" name="execution_status"/>
    <x:tableColumn id="14" name="dataset_vers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77e4bdefd406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5" hidden="0" customWidth="1"/>
    <x:col min="2" max="2" width="11.75" hidden="0" customWidth="1"/>
    <x:col min="3" max="3" width="12.5" hidden="0" customWidth="1"/>
    <x:col min="4" max="4" width="21.8799991607666" hidden="0" customWidth="1"/>
    <x:col min="5" max="5" width="73.75" hidden="0" customWidth="1"/>
    <x:col min="6" max="6" width="66.25" hidden="0" customWidth="1"/>
    <x:col min="7" max="7" width="116.25" hidden="0" customWidth="1"/>
    <x:col min="8" max="8" width="22.5" hidden="0" customWidth="1"/>
    <x:col min="9" max="9" width="23.75" hidden="0" customWidth="1"/>
    <x:col min="10" max="10" width="18.1299991607666" hidden="0" customWidth="1"/>
    <x:col min="11" max="11" width="48.75" hidden="0" customWidth="1"/>
    <x:col min="12" max="12" width="17.5" hidden="0" customWidth="1"/>
    <x:col min="13" max="13" width="20.6299991607666" hidden="0" customWidth="1"/>
    <x:col min="14" max="14" width="19.3799991607666" hidden="0" customWidth="1"/>
  </x:cols>
  <x:sheetData>
    <x:row r="1" ht="48" customHeight="1">
      <x:c r="A1" s="11" t="str">
        <x:v>case_id</x:v>
      </x:c>
      <x:c r="B1" s="11" t="str">
        <x:v>scenario_id</x:v>
      </x:c>
      <x:c r="C1" s="11" t="str">
        <x:v>case_group</x:v>
      </x:c>
      <x:c r="D1" s="11" t="str">
        <x:v>scenario</x:v>
      </x:c>
      <x:c r="E1" s="11" t="str">
        <x:v>question</x:v>
      </x:c>
      <x:c r="F1" s="11" t="str">
        <x:v>reference_output</x:v>
      </x:c>
      <x:c r="G1" s="11" t="str">
        <x:v>mock_actual_output</x:v>
      </x:c>
      <x:c r="H1" s="11" t="str">
        <x:v>expected_mock_verdict</x:v>
      </x:c>
      <x:c r="I1" s="11" t="str">
        <x:v>expected_badcase</x:v>
      </x:c>
      <x:c r="J1" s="11" t="str">
        <x:v>expected_stage</x:v>
      </x:c>
      <x:c r="K1" s="11" t="str">
        <x:v>expected_reason</x:v>
      </x:c>
      <x:c r="L1" s="11" t="str">
        <x:v>is_simulated</x:v>
      </x:c>
      <x:c r="M1" s="11" t="str">
        <x:v>execution_status</x:v>
      </x:c>
      <x:c r="N1" s="11" t="str">
        <x:v>dataset_version</x:v>
      </x:c>
    </x:row>
    <x:row r="2" ht="120" customHeight="1">
      <x:c r="A2" s="6" t="str">
        <x:v>M001</x:v>
      </x:c>
      <x:c r="B2" s="6" t="str">
        <x:v>S01</x:v>
      </x:c>
      <x:c r="C2" s="6" t="str">
        <x:v>正常</x:v>
      </x:c>
      <x:c r="D2" s="6" t="str">
        <x:v>单品自动创意</x:v>
      </x:c>
      <x:c r="E2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商品资料（模拟）：示例鲜牛乳；数量 1；规格 250mL；外观 白色瓶身，金色瓶盖。
需求：日常上新，背景、文案与排版自动搭配。
输出比例：1:1。</x:v>
      </x:c>
      <x:c r="F2" s="6" t="str">
        <x:v>status=ready，concepts 数量为 2，约定字段齐全。保留 1 瓶、250mL、金盖白瓶信息。 输出比例 1:1。不得新增价格、折扣、功效、品牌授权或性能数字。策略描述可多样化，无须逐字匹配示例；实际抠图、文字可读性与图片设计质量需另行评测。</x:v>
      </x:c>
      <x:c r="G2" s="6" t="str">
        <x:v>{"status":"ready","ratio":"1:1","product_units":1,"spec":"250mL","product_appearance":"白色瓶身，金色瓶盖","concepts":[{"name":"晨光桌面","background":"浅木桌面，窗边柔和侧光","composition":"瓶身居中偏下，标题置顶，阴影向右","palette":"奶油白、浅木色","title":"日常好物上新","subtitle":"好物上新","text_color":"#243447"},{"name":"冷暖几何","background":"浅蓝色立体圆台，浅橙几何背景","composition":"瓶身偏右，标题沿左侧纵向排列","palette":"浅蓝、浅橙","title":"日常好物上新","subtitle":"日常精选","text_color":"#243447"}]}</x:v>
      </x:c>
      <x:c r="H2" s="6" t="str">
        <x:v>通过</x:v>
      </x:c>
      <x:c r="I2" s="6" t="str">
        <x:v>无</x:v>
      </x:c>
      <x:c r="J2" s="6" t="str">
        <x:v>无</x:v>
      </x:c>
      <x:c r="K2" s="6" t="str">
        <x:v>模拟策略符合本条文本与结构约束，未评价实际图片。</x:v>
      </x:c>
      <x:c r="L2" s="7" t="b">
        <x:v>1</x:v>
      </x:c>
      <x:c r="M2" s="6" t="str">
        <x:v>not_run</x:v>
      </x:c>
      <x:c r="N2" s="6" t="str">
        <x:v>mock-v1.0</x:v>
      </x:c>
    </x:row>
    <x:row r="3" ht="120" customHeight="1">
      <x:c r="A3" s="12" t="str">
        <x:v>M002</x:v>
      </x:c>
      <x:c r="B3" s="12" t="str">
        <x:v>S02</x:v>
      </x:c>
      <x:c r="C3" s="12" t="str">
        <x:v>正常</x:v>
      </x:c>
      <x:c r="D3" s="12" t="str">
        <x:v>单品规格保持</x:v>
      </x:c>
      <x:c r="E3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商品资料（模拟）：示例柠檬轻饮；数量 1；规格 250mL；外观 黄色瓶身，白色瓶盖。
需求：夏日上新，只能使用已提供规格，不新增成分比例。
输出比例：1:1。</x:v>
      </x:c>
      <x:c r="F3" s="12" t="str">
        <x:v>status=ready，concepts 数量为 2，约定字段齐全。规格必须为 250mL，不推断果汁比例。 输出比例 1:1。不得新增价格、折扣、功效、品牌授权或性能数字。策略描述可多样化，无须逐字匹配示例；实际抠图、文字可读性与图片设计质量需另行评测。</x:v>
      </x:c>
      <x:c r="G3" s="12" t="str">
        <x:v>{"status":"ready","ratio":"1:1","product_units":1,"spec":"250mL","product_appearance":"黄色瓶身，白色瓶盖","concepts":[{"name":"夏日窗光","background":"浅黄色墙面，玻璃台面，清晰窗影","composition":"主体偏左，标题右上，副标题右下","palette":"柠檬黄、白色","title":"夏日好物上新","subtitle":"好物上新","text_color":"#243447"},{"name":"清爽波纹","background":"薄荷色抽象波纹，半透明圆台","composition":"主体居中，标题横向置顶","palette":"薄荷绿、淡黄","title":"夏日好物上新","subtitle":"日常精选","text_color":"#243447"}]}</x:v>
      </x:c>
      <x:c r="H3" s="12" t="str">
        <x:v>通过</x:v>
      </x:c>
      <x:c r="I3" s="12" t="str">
        <x:v>无</x:v>
      </x:c>
      <x:c r="J3" s="12" t="str">
        <x:v>无</x:v>
      </x:c>
      <x:c r="K3" s="12" t="str">
        <x:v>模拟策略符合本条文本与结构约束，未评价实际图片。</x:v>
      </x:c>
      <x:c r="L3" s="13" t="b">
        <x:v>1</x:v>
      </x:c>
      <x:c r="M3" s="12" t="str">
        <x:v>not_run</x:v>
      </x:c>
      <x:c r="N3" s="12" t="str">
        <x:v>mock-v1.0</x:v>
      </x:c>
    </x:row>
    <x:row r="4" ht="120" customHeight="1">
      <x:c r="A4" s="6" t="str">
        <x:v>M003</x:v>
      </x:c>
      <x:c r="B4" s="6" t="str">
        <x:v>S03</x:v>
      </x:c>
      <x:c r="C4" s="6" t="str">
        <x:v>正常</x:v>
      </x:c>
      <x:c r="D4" s="6" t="str">
        <x:v>营销文案事实约束</x:v>
      </x:c>
      <x:c r="E4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商品资料（模拟）：示例原味酸奶；数量 1；规格 180g；外观 蓝白色酸奶杯。
需求：只写日常场景，不得新增零糖、低脂或营养功效。
输出比例：1:1。</x:v>
      </x:c>
      <x:c r="F4" s="6" t="str">
        <x:v>status=ready，concepts 数量为 2，约定字段齐全。文案不出现零糖、低脂等未经提供的信息。 输出比例 1:1。不得新增价格、折扣、功效、品牌授权或性能数字。策略描述可多样化，无须逐字匹配示例；实际抠图、文字可读性与图片设计质量需另行评测。</x:v>
      </x:c>
      <x:c r="G4" s="6" t="str">
        <x:v>{"status":"ready","ratio":"1:1","product_units":1,"spec":"180g","product_appearance":"蓝白色酸奶杯","concepts":[{"name":"午后桌面","background":"米色桌面，暖光与自然投影","composition":"杯体右下，左上标题，留出呼吸空间","palette":"米白、浅蓝","title":"日常好物","subtitle":"好物上新","text_color":"#243447"},{"name":"几何分区","background":"蓝白几何背景，低矮圆台","composition":"杯体居中偏左，标题右侧分层","palette":"浅蓝、白色","title":"日常好物","subtitle":"日常精选","text_color":"#243447"}]}</x:v>
      </x:c>
      <x:c r="H4" s="6" t="str">
        <x:v>通过</x:v>
      </x:c>
      <x:c r="I4" s="6" t="str">
        <x:v>无</x:v>
      </x:c>
      <x:c r="J4" s="6" t="str">
        <x:v>无</x:v>
      </x:c>
      <x:c r="K4" s="6" t="str">
        <x:v>模拟策略符合本条文本与结构约束，未评价实际图片。</x:v>
      </x:c>
      <x:c r="L4" s="7" t="b">
        <x:v>1</x:v>
      </x:c>
      <x:c r="M4" s="6" t="str">
        <x:v>not_run</x:v>
      </x:c>
      <x:c r="N4" s="6" t="str">
        <x:v>mock-v1.0</x:v>
      </x:c>
    </x:row>
    <x:row r="5" ht="120" customHeight="1">
      <x:c r="A5" s="12" t="str">
        <x:v>M004</x:v>
      </x:c>
      <x:c r="B5" s="12" t="str">
        <x:v>S04</x:v>
      </x:c>
      <x:c r="C5" s="12" t="str">
        <x:v>正常</x:v>
      </x:c>
      <x:c r="D5" s="12" t="str">
        <x:v>自定义文案遵循</x:v>
      </x:c>
      <x:c r="E5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商品资料（模拟）：示例袋装酸奶组合；数量 3；规格 100g×3；外观 三个不同配色的吸吸袋。
需求：主标题必须逐字使用“周末好物”，不得改写。
输出比例：1:1。</x:v>
      </x:c>
      <x:c r="F5" s="12" t="str">
        <x:v>status=ready，concepts 数量为 2，约定字段齐全。两份方案主标题均为“周末好物”，3 袋组合完整。 输出比例 1:1。不得新增价格、折扣、功效、品牌授权或性能数字。策略描述可多样化，无须逐字匹配示例；实际抠图、文字可读性与图片设计质量需另行评测。</x:v>
      </x:c>
      <x:c r="G5" s="12" t="str">
        <x:v>{"status":"ready","ratio":"1:1","product_units":3,"spec":"100g×3","product_appearance":"三个不同配色的吸吸袋","concepts":[{"name":"周末餐桌","background":"浅木色桌面，暖白背景","composition":"三袋并列居中，标题上方横排","palette":"暖白、浅木色","title":"周末好物","subtitle":"好物上新","text_color":"#243447"},{"name":"活力分区","background":"粉蓝撞色几何背景，柔和投影","composition":"三袋作为整体偏右，标题置左","palette":"浅粉、浅蓝","title":"周末好物","subtitle":"日常精选","text_color":"#243447"}]}</x:v>
      </x:c>
      <x:c r="H5" s="12" t="str">
        <x:v>通过</x:v>
      </x:c>
      <x:c r="I5" s="12" t="str">
        <x:v>无</x:v>
      </x:c>
      <x:c r="J5" s="12" t="str">
        <x:v>无</x:v>
      </x:c>
      <x:c r="K5" s="12" t="str">
        <x:v>模拟策略符合本条文本与结构约束，未评价实际图片。</x:v>
      </x:c>
      <x:c r="L5" s="13" t="b">
        <x:v>1</x:v>
      </x:c>
      <x:c r="M5" s="12" t="str">
        <x:v>not_run</x:v>
      </x:c>
      <x:c r="N5" s="12" t="str">
        <x:v>mock-v1.0</x:v>
      </x:c>
    </x:row>
    <x:row r="6" ht="120" customHeight="1">
      <x:c r="A6" s="6" t="str">
        <x:v>M005</x:v>
      </x:c>
      <x:c r="B6" s="6" t="str">
        <x:v>S05</x:v>
      </x:c>
      <x:c r="C6" s="6" t="str">
        <x:v>正常</x:v>
      </x:c>
      <x:c r="D6" s="6" t="str">
        <x:v>同品多方向探索</x:v>
      </x:c>
      <x:c r="E6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商品资料（模拟）：示例绿色双瓶鲜奶；数量 2；规格 950mL×2；外观 两个同款绿色瓶身。
需求：两套方案至少在场景、构图、配色、信息层级中的两项实质不同。
输出比例：1:1。</x:v>
      </x:c>
      <x:c r="F6" s="6" t="str">
        <x:v>status=ready，concepts 数量为 2，约定字段齐全。保留两瓶原始形态；两份方案至少两项实质差异，左右换位不单独构成两个方向。 输出比例 1:1。不得新增价格、折扣、功效、品牌授权或性能数字。策略描述可多样化，无须逐字匹配示例；实际抠图、文字可读性与图片设计质量需另行评测。</x:v>
      </x:c>
      <x:c r="G6" s="6" t="str">
        <x:v>{"status":"ready","ratio":"1:1","product_units":2,"spec":"950mL×2","product_appearance":"两个同款绿色瓶身","concepts":[{"name":"自然窗边","background":"浅木桌面，叶片投影，暖白墙面","composition":"双瓶并列偏左，标题右上，副标题右下","palette":"暖白、叶绿","title":"轻松日常","subtitle":"好物上新","text_color":"#243447"},{"name":"清新几何","background":"薄荷色层叠几何圆台，柔和侧光","composition":"双瓶作为整体居中偏下，顶部大标题","palette":"薄荷绿、淡蓝","title":"轻松日常","subtitle":"日常精选","text_color":"#243447"}]}</x:v>
      </x:c>
      <x:c r="H6" s="6" t="str">
        <x:v>通过</x:v>
      </x:c>
      <x:c r="I6" s="6" t="str">
        <x:v>无</x:v>
      </x:c>
      <x:c r="J6" s="6" t="str">
        <x:v>无</x:v>
      </x:c>
      <x:c r="K6" s="6" t="str">
        <x:v>模拟策略符合本条文本与结构约束，未评价实际图片。</x:v>
      </x:c>
      <x:c r="L6" s="7" t="b">
        <x:v>1</x:v>
      </x:c>
      <x:c r="M6" s="6" t="str">
        <x:v>not_run</x:v>
      </x:c>
      <x:c r="N6" s="6" t="str">
        <x:v>mock-v1.0</x:v>
      </x:c>
    </x:row>
    <x:row r="7" ht="120" customHeight="1">
      <x:c r="A7" s="12" t="str">
        <x:v>M006</x:v>
      </x:c>
      <x:c r="B7" s="12" t="str">
        <x:v>S06</x:v>
      </x:c>
      <x:c r="C7" s="12" t="str">
        <x:v>正常</x:v>
      </x:c>
      <x:c r="D7" s="12" t="str">
        <x:v>自定义背景遵循</x:v>
      </x:c>
      <x:c r="E7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商品资料（模拟）：示例果蔬双拼组合；数量 2；规格 双拼盒×2；外观 两盒不同配色的组合包装。
需求：背景必须为柔和浅绿色、干净有层次，不使用红色背景。
输出比例：3:4。</x:v>
      </x:c>
      <x:c r="F7" s="12" t="str">
        <x:v>status=ready，concepts 数量为 2，约定字段齐全。保持 3:4、2 盒组合和浅绿背景，不推断盒内数量。 输出比例 3:4。不得新增价格、折扣、功效、品牌授权或性能数字。策略描述可多样化，无须逐字匹配示例；实际抠图、文字可读性与图片设计质量需另行评测。</x:v>
      </x:c>
      <x:c r="G7" s="12" t="str">
        <x:v>{"status":"ready","ratio":"3:4","product_units":2,"spec":"双拼盒×2","product_appearance":"两盒不同配色的组合包装","concepts":[{"name":"浅绿窗光","background":"柔和浅绿色墙面与台面，细腻窗影","composition":"两盒整体置下，标题上方左对齐","palette":"浅绿、米白","title":"日常精选","subtitle":"好物上新","text_color":"#243447"},{"name":"浅绿曲面","background":"浅绿色弧形台阶，柔和远近层次","composition":"主体偏右，标题沿左侧分层","palette":"嫩绿、暖白","title":"日常精选","subtitle":"日常精选","text_color":"#243447"}]}</x:v>
      </x:c>
      <x:c r="H7" s="12" t="str">
        <x:v>通过</x:v>
      </x:c>
      <x:c r="I7" s="12" t="str">
        <x:v>无</x:v>
      </x:c>
      <x:c r="J7" s="12" t="str">
        <x:v>无</x:v>
      </x:c>
      <x:c r="K7" s="12" t="str">
        <x:v>模拟策略符合本条文本与结构约束，未评价实际图片。</x:v>
      </x:c>
      <x:c r="L7" s="13" t="b">
        <x:v>1</x:v>
      </x:c>
      <x:c r="M7" s="12" t="str">
        <x:v>not_run</x:v>
      </x:c>
      <x:c r="N7" s="12" t="str">
        <x:v>mock-v1.0</x:v>
      </x:c>
    </x:row>
    <x:row r="8" ht="120" customHeight="1">
      <x:c r="A8" s="6" t="str">
        <x:v>M007</x:v>
      </x:c>
      <x:c r="B8" s="6" t="str">
        <x:v>S07</x:v>
      </x:c>
      <x:c r="C8" s="6" t="str">
        <x:v>正常</x:v>
      </x:c>
      <x:c r="D8" s="6" t="str">
        <x:v>混合规格套装</x:v>
      </x:c>
      <x:c r="E8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商品资料（模拟）：示例大小瓶组合；数量 2；规格 250mL×1＋500mL×1；外观 一小一大两瓶，原图相对大小固定。
需求：保持一大一小组合，不得合并成同规格。
输出比例：3:4。</x:v>
      </x:c>
      <x:c r="F8" s="6" t="str">
        <x:v>status=ready，concepts 数量为 2，约定字段齐全。数量为 2；分别为 250mL 和 500mL；保留相对大小。 输出比例 3:4。不得新增价格、折扣、功效、品牌授权或性能数字。策略描述可多样化，无须逐字匹配示例；实际抠图、文字可读性与图片设计质量需另行评测。</x:v>
      </x:c>
      <x:c r="G8" s="6" t="str">
        <x:v>{"status":"ready","ratio":"3:4","product_units":2,"spec":"250mL×1＋500mL×1","product_appearance":"一小一大两瓶，原图相对大小固定","concepts":[{"name":"日常餐桌","background":"浅米色桌面与柔和窗影","composition":"大小瓶并列偏下，顶部横排标题","palette":"米白、浅棕","title":"组合好物","subtitle":"好物上新","text_color":"#243447"},{"name":"空间展台","background":"浅蓝错层展台，背景带远近层次","composition":"整体偏右，左侧标题及副标题","palette":"浅蓝、暖橙","title":"组合好物","subtitle":"日常精选","text_color":"#243447"}]}</x:v>
      </x:c>
      <x:c r="H8" s="6" t="str">
        <x:v>通过</x:v>
      </x:c>
      <x:c r="I8" s="6" t="str">
        <x:v>无</x:v>
      </x:c>
      <x:c r="J8" s="6" t="str">
        <x:v>无</x:v>
      </x:c>
      <x:c r="K8" s="6" t="str">
        <x:v>模拟策略符合本条文本与结构约束，未评价实际图片。</x:v>
      </x:c>
      <x:c r="L8" s="7" t="b">
        <x:v>1</x:v>
      </x:c>
      <x:c r="M8" s="6" t="str">
        <x:v>not_run</x:v>
      </x:c>
      <x:c r="N8" s="6" t="str">
        <x:v>mock-v1.0</x:v>
      </x:c>
    </x:row>
    <x:row r="9" ht="120" customHeight="1">
      <x:c r="A9" s="12" t="str">
        <x:v>M008</x:v>
      </x:c>
      <x:c r="B9" s="12" t="str">
        <x:v>S08</x:v>
      </x:c>
      <x:c r="C9" s="12" t="str">
        <x:v>正常</x:v>
      </x:c>
      <x:c r="D9" s="12" t="str">
        <x:v>创意方案结构完整性</x:v>
      </x:c>
      <x:c r="E9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商品资料（模拟）：示例银色录音设备；数量 1；规格 单机；外观 银色圆形主体，黑色开孔与短挂环。
需求：只表达外观与使用场景，不新增续航时长或转写准确率。每份方案须含完整字段。
输出比例：1:1。</x:v>
      </x:c>
      <x:c r="F9" s="12" t="str">
        <x:v>status=ready，concepts 数量为 2，约定字段齐全。不改变主体形态，不新增性能数字；每个 concept 都包含 background、composition、palette、title、subtitle、text_color。 输出比例 1:1。不得新增价格、折扣、功效、品牌授权或性能数字。策略描述可多样化，无须逐字匹配示例；实际抠图、文字可读性与图片设计质量需另行评测。</x:v>
      </x:c>
      <x:c r="G9" s="12" t="str">
        <x:v>{"status":"ready","ratio":"1:1","product_units":1,"spec":"单机","product_appearance":"银色圆形主体，黑色开孔与短挂环","concepts":[{"name":"桌面办公","background":"暖白办公桌面，柔和窗边侧光","composition":"设备居中偏下，标题顶部，信息简洁","palette":"暖白、银灰","title":"随手记录","subtitle":"好物上新","text_color":"#243447"},{"name":"科技曲面","background":"浅蓝弧形展台，淡紫渐层背景","composition":"设备偏右，左侧主副标题分层","palette":"淡蓝、浅紫","title":"随手记录","subtitle":"日常精选","text_color":"#243447"}]}</x:v>
      </x:c>
      <x:c r="H9" s="12" t="str">
        <x:v>通过</x:v>
      </x:c>
      <x:c r="I9" s="12" t="str">
        <x:v>无</x:v>
      </x:c>
      <x:c r="J9" s="12" t="str">
        <x:v>无</x:v>
      </x:c>
      <x:c r="K9" s="12" t="str">
        <x:v>模拟策略符合本条文本与结构约束，未评价实际图片。</x:v>
      </x:c>
      <x:c r="L9" s="13" t="b">
        <x:v>1</x:v>
      </x:c>
      <x:c r="M9" s="12" t="str">
        <x:v>not_run</x:v>
      </x:c>
      <x:c r="N9" s="12" t="str">
        <x:v>mock-v1.0</x:v>
      </x:c>
    </x:row>
    <x:row r="10" ht="120" customHeight="1">
      <x:c r="A10" s="6" t="str">
        <x:v>M009</x:v>
      </x:c>
      <x:c r="B10" s="6" t="str">
        <x:v>S01</x:v>
      </x:c>
      <x:c r="C10" s="6" t="str">
        <x:v>Badcase</x:v>
      </x:c>
      <x:c r="D10" s="6" t="str">
        <x:v>单品自动创意</x:v>
      </x:c>
      <x:c r="E10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商品资料（模拟）：示例鲜牛乳；数量 1；规格 250mL；外观 白色瓶身，金色瓶盖。
需求：日常上新，背景、文案与排版自动搭配。
输出比例：1:1。</x:v>
      </x:c>
      <x:c r="F10" s="6" t="str">
        <x:v>status=ready，concepts 数量为 2，约定字段齐全。保留 1 瓶、250mL、金盖白瓶信息。 输出比例 1:1。不得新增价格、折扣、功效、品牌授权或性能数字。策略描述可多样化，无须逐字匹配示例；实际抠图、文字可读性与图片设计质量需另行评测。</x:v>
      </x:c>
      <x:c r="G10" s="6" t="str">
        <x:v>{"status":"ready","ratio":"1:1","product_units":3,"spec":"250mL","product_appearance":"白色瓶身，金色瓶盖","concepts":[{"name":"晨光桌面","background":"浅木桌面，窗边柔和侧光","composition":"瓶身居中偏下，标题置顶，阴影向右","palette":"奶油白、浅木色","title":"日常好物上新","subtitle":"好物上新","text_color":"#243447"},{"name":"冷暖几何","background":"浅蓝色立体圆台，浅橙几何背景","composition":"瓶身偏右，标题沿左侧纵向排列","palette":"浅蓝、浅橙","title":"日常好物上新","subtitle":"日常精选","text_color":"#243447"}]}</x:v>
      </x:c>
      <x:c r="H10" s="6" t="str">
        <x:v>不通过</x:v>
      </x:c>
      <x:c r="I10" s="6" t="str">
        <x:v>商品数量错误</x:v>
      </x:c>
      <x:c r="J10" s="6" t="str">
        <x:v>创意策略</x:v>
      </x:c>
      <x:c r="K10" s="6" t="str">
        <x:v>商品数量从 1 瓶改为 3 瓶。</x:v>
      </x:c>
      <x:c r="L10" s="7" t="b">
        <x:v>1</x:v>
      </x:c>
      <x:c r="M10" s="6" t="str">
        <x:v>not_run</x:v>
      </x:c>
      <x:c r="N10" s="6" t="str">
        <x:v>mock-v1.0</x:v>
      </x:c>
    </x:row>
    <x:row r="11" ht="120" customHeight="1">
      <x:c r="A11" s="12" t="str">
        <x:v>M010</x:v>
      </x:c>
      <x:c r="B11" s="12" t="str">
        <x:v>S02</x:v>
      </x:c>
      <x:c r="C11" s="12" t="str">
        <x:v>Badcase</x:v>
      </x:c>
      <x:c r="D11" s="12" t="str">
        <x:v>单品规格保持</x:v>
      </x:c>
      <x:c r="E11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商品资料（模拟）：示例柠檬轻饮；数量 1；规格 250mL；外观 黄色瓶身，白色瓶盖。
需求：夏日上新，只能使用已提供规格，不新增成分比例。
输出比例：1:1。</x:v>
      </x:c>
      <x:c r="F11" s="12" t="str">
        <x:v>status=ready，concepts 数量为 2，约定字段齐全。规格必须为 250mL，不推断果汁比例。 输出比例 1:1。不得新增价格、折扣、功效、品牌授权或性能数字。策略描述可多样化，无须逐字匹配示例；实际抠图、文字可读性与图片设计质量需另行评测。</x:v>
      </x:c>
      <x:c r="G11" s="12" t="str">
        <x:v>{"status":"ready","ratio":"1:1","product_units":1,"spec":"1L","product_appearance":"黄色瓶身，白色瓶盖","concepts":[{"name":"夏日窗光","background":"浅黄色墙面，玻璃台面，清晰窗影","composition":"主体偏左，标题右上，副标题右下","palette":"柠檬黄、白色","title":"夏日好物上新","subtitle":"1L 日常分享","text_color":"#243447"},{"name":"清爽波纹","background":"薄荷色抽象波纹，半透明圆台","composition":"主体居中，标题横向置顶","palette":"薄荷绿、淡黄","title":"夏日好物上新","subtitle":"日常精选","text_color":"#243447"}]}</x:v>
      </x:c>
      <x:c r="H11" s="12" t="str">
        <x:v>不通过</x:v>
      </x:c>
      <x:c r="I11" s="12" t="str">
        <x:v>商品规格错误</x:v>
      </x:c>
      <x:c r="J11" s="12" t="str">
        <x:v>创意策略</x:v>
      </x:c>
      <x:c r="K11" s="12" t="str">
        <x:v>将已提供的 250mL 改为 1L。</x:v>
      </x:c>
      <x:c r="L11" s="13" t="b">
        <x:v>1</x:v>
      </x:c>
      <x:c r="M11" s="12" t="str">
        <x:v>not_run</x:v>
      </x:c>
      <x:c r="N11" s="12" t="str">
        <x:v>mock-v1.0</x:v>
      </x:c>
    </x:row>
    <x:row r="12" ht="120" customHeight="1">
      <x:c r="A12" s="6" t="str">
        <x:v>M011</x:v>
      </x:c>
      <x:c r="B12" s="6" t="str">
        <x:v>S03</x:v>
      </x:c>
      <x:c r="C12" s="6" t="str">
        <x:v>Badcase</x:v>
      </x:c>
      <x:c r="D12" s="6" t="str">
        <x:v>营销文案事实约束</x:v>
      </x:c>
      <x:c r="E12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商品资料（模拟）：示例原味酸奶；数量 1；规格 180g；外观 蓝白色酸奶杯。
需求：只写日常场景，不得新增零糖、低脂或营养功效。
输出比例：1:1。</x:v>
      </x:c>
      <x:c r="F12" s="6" t="str">
        <x:v>status=ready，concepts 数量为 2，约定字段齐全。文案不出现零糖、低脂等未经提供的信息。 输出比例 1:1。不得新增价格、折扣、功效、品牌授权或性能数字。策略描述可多样化，无须逐字匹配示例；实际抠图、文字可读性与图片设计质量需另行评测。</x:v>
      </x:c>
      <x:c r="G12" s="6" t="str">
        <x:v>{"status":"ready","ratio":"1:1","product_units":1,"spec":"180g","product_appearance":"蓝白色酸奶杯","concepts":[{"name":"午后桌面","background":"米色桌面，暖光与自然投影","composition":"杯体右下，左上标题，留出呼吸空间","palette":"米白、浅蓝","title":"日常好物","subtitle":"零糖低脂，放心畅享","text_color":"#243447"},{"name":"几何分区","background":"蓝白几何背景，低矮圆台","composition":"杯体居中偏左，标题右侧分层","palette":"浅蓝、白色","title":"日常好物","subtitle":"日常精选","text_color":"#243447"}]}</x:v>
      </x:c>
      <x:c r="H12" s="6" t="str">
        <x:v>不通过</x:v>
      </x:c>
      <x:c r="I12" s="6" t="str">
        <x:v>虚构商品属性</x:v>
      </x:c>
      <x:c r="J12" s="6" t="str">
        <x:v>创意策略</x:v>
      </x:c>
      <x:c r="K12" s="6" t="str">
        <x:v>新增未提供的零糖、低脂属性。</x:v>
      </x:c>
      <x:c r="L12" s="7" t="b">
        <x:v>1</x:v>
      </x:c>
      <x:c r="M12" s="6" t="str">
        <x:v>not_run</x:v>
      </x:c>
      <x:c r="N12" s="6" t="str">
        <x:v>mock-v1.0</x:v>
      </x:c>
    </x:row>
    <x:row r="13" ht="120" customHeight="1">
      <x:c r="A13" s="12" t="str">
        <x:v>M012</x:v>
      </x:c>
      <x:c r="B13" s="12" t="str">
        <x:v>S04</x:v>
      </x:c>
      <x:c r="C13" s="12" t="str">
        <x:v>Badcase</x:v>
      </x:c>
      <x:c r="D13" s="12" t="str">
        <x:v>自定义文案遵循</x:v>
      </x:c>
      <x:c r="E13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商品资料（模拟）：示例袋装酸奶组合；数量 3；规格 100g×3；外观 三个不同配色的吸吸袋。
需求：主标题必须逐字使用“周末好物”，不得改写。
输出比例：1:1。</x:v>
      </x:c>
      <x:c r="F13" s="12" t="str">
        <x:v>status=ready，concepts 数量为 2，约定字段齐全。两份方案主标题均为“周末好物”，3 袋组合完整。 输出比例 1:1。不得新增价格、折扣、功效、品牌授权或性能数字。策略描述可多样化，无须逐字匹配示例；实际抠图、文字可读性与图片设计质量需另行评测。</x:v>
      </x:c>
      <x:c r="G13" s="12" t="str">
        <x:v>{"status":"ready","ratio":"1:1","product_units":3,"spec":"100g×3","product_appearance":"三个不同配色的吸吸袋","concepts":[{"name":"周末餐桌","background":"浅木色桌面，暖白背景","composition":"三袋并列居中，标题上方横排","palette":"暖白、浅木色","title":"周末必买好物","subtitle":"好物上新","text_color":"#243447"},{"name":"活力分区","background":"粉蓝撞色几何背景，柔和投影","composition":"三袋作为整体偏右，标题置左","palette":"浅粉、浅蓝","title":"周末好物","subtitle":"日常精选","text_color":"#243447"}]}</x:v>
      </x:c>
      <x:c r="H13" s="12" t="str">
        <x:v>不通过</x:v>
      </x:c>
      <x:c r="I13" s="12" t="str">
        <x:v>自定义文案被改写</x:v>
      </x:c>
      <x:c r="J13" s="12" t="str">
        <x:v>创意策略</x:v>
      </x:c>
      <x:c r="K13" s="12" t="str">
        <x:v>固定标题被改写，违反明确约束。</x:v>
      </x:c>
      <x:c r="L13" s="13" t="b">
        <x:v>1</x:v>
      </x:c>
      <x:c r="M13" s="12" t="str">
        <x:v>not_run</x:v>
      </x:c>
      <x:c r="N13" s="12" t="str">
        <x:v>mock-v1.0</x:v>
      </x:c>
    </x:row>
    <x:row r="14" ht="120" customHeight="1">
      <x:c r="A14" s="6" t="str">
        <x:v>M013</x:v>
      </x:c>
      <x:c r="B14" s="6" t="str">
        <x:v>S05</x:v>
      </x:c>
      <x:c r="C14" s="6" t="str">
        <x:v>Badcase</x:v>
      </x:c>
      <x:c r="D14" s="6" t="str">
        <x:v>同品多方向探索</x:v>
      </x:c>
      <x:c r="E14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商品资料（模拟）：示例绿色双瓶鲜奶；数量 2；规格 950mL×2；外观 两个同款绿色瓶身。
需求：两套方案至少在场景、构图、配色、信息层级中的两项实质不同。
输出比例：1:1。</x:v>
      </x:c>
      <x:c r="F14" s="6" t="str">
        <x:v>status=ready，concepts 数量为 2，约定字段齐全。保留两瓶原始形态；两份方案至少两项实质差异，左右换位不单独构成两个方向。 输出比例 1:1。不得新增价格、折扣、功效、品牌授权或性能数字。策略描述可多样化，无须逐字匹配示例；实际抠图、文字可读性与图片设计质量需另行评测。</x:v>
      </x:c>
      <x:c r="G14" s="6" t="str">
        <x:v>{"status":"ready","ratio":"1:1","product_units":2,"spec":"950mL×2","product_appearance":"两个同款绿色瓶身","concepts":[{"name":"自然窗边","background":"浅木桌面，叶片投影，暖白墙面","composition":"双瓶并列偏左，标题右上，副标题右下","palette":"暖白、叶绿","title":"轻松日常","subtitle":"好物上新","text_color":"#243447"},{"name":"自然窗边二","background":"浅木桌面，叶片投影，暖白墙面","composition":"双瓶并列偏右，标题左上，副标题左下","palette":"暖白、叶绿","title":"轻松日常","subtitle":"好物上新","text_color":"#243447"}]}</x:v>
      </x:c>
      <x:c r="H14" s="6" t="str">
        <x:v>不通过</x:v>
      </x:c>
      <x:c r="I14" s="6" t="str">
        <x:v>视觉策略同质化</x:v>
      </x:c>
      <x:c r="J14" s="6" t="str">
        <x:v>创意策略</x:v>
      </x:c>
      <x:c r="K14" s="6" t="str">
        <x:v>第二份仅改变左右位置，场景、配色与信息层级均相同。</x:v>
      </x:c>
      <x:c r="L14" s="7" t="b">
        <x:v>1</x:v>
      </x:c>
      <x:c r="M14" s="6" t="str">
        <x:v>not_run</x:v>
      </x:c>
      <x:c r="N14" s="6" t="str">
        <x:v>mock-v1.0</x:v>
      </x:c>
    </x:row>
    <x:row r="15" ht="120" customHeight="1">
      <x:c r="A15" s="12" t="str">
        <x:v>M014</x:v>
      </x:c>
      <x:c r="B15" s="12" t="str">
        <x:v>S06</x:v>
      </x:c>
      <x:c r="C15" s="12" t="str">
        <x:v>Badcase</x:v>
      </x:c>
      <x:c r="D15" s="12" t="str">
        <x:v>自定义背景遵循</x:v>
      </x:c>
      <x:c r="E15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商品资料（模拟）：示例果蔬双拼组合；数量 2；规格 双拼盒×2；外观 两盒不同配色的组合包装。
需求：背景必须为柔和浅绿色、干净有层次，不使用红色背景。
输出比例：3:4。</x:v>
      </x:c>
      <x:c r="F15" s="12" t="str">
        <x:v>status=ready，concepts 数量为 2，约定字段齐全。保持 3:4、2 盒组合和浅绿背景，不推断盒内数量。 输出比例 3:4。不得新增价格、折扣、功效、品牌授权或性能数字。策略描述可多样化，无须逐字匹配示例；实际抠图、文字可读性与图片设计质量需另行评测。</x:v>
      </x:c>
      <x:c r="G15" s="12" t="str">
        <x:v>{"status":"ready","ratio":"3:4","product_units":2,"spec":"双拼盒×2","product_appearance":"两盒不同配色的组合包装","concepts":[{"name":"浅绿窗光","background":"深红色丝绒背景，红色展台","composition":"两盒整体置下，标题上方左对齐","palette":"深红、黑色","title":"日常精选","subtitle":"好物上新","text_color":"#243447"},{"name":"浅绿曲面","background":"浅绿色弧形台阶，柔和远近层次","composition":"主体偏右，标题沿左侧分层","palette":"嫩绿、暖白","title":"日常精选","subtitle":"日常精选","text_color":"#243447"}]}</x:v>
      </x:c>
      <x:c r="H15" s="12" t="str">
        <x:v>不通过</x:v>
      </x:c>
      <x:c r="I15" s="12" t="str">
        <x:v>自定义背景失效</x:v>
      </x:c>
      <x:c r="J15" s="12" t="str">
        <x:v>创意策略</x:v>
      </x:c>
      <x:c r="K15" s="12" t="str">
        <x:v>背景与用户指定浅绿色相冲突。</x:v>
      </x:c>
      <x:c r="L15" s="13" t="b">
        <x:v>1</x:v>
      </x:c>
      <x:c r="M15" s="12" t="str">
        <x:v>not_run</x:v>
      </x:c>
      <x:c r="N15" s="12" t="str">
        <x:v>mock-v1.0</x:v>
      </x:c>
    </x:row>
    <x:row r="16" ht="120" customHeight="1">
      <x:c r="A16" s="6" t="str">
        <x:v>M015</x:v>
      </x:c>
      <x:c r="B16" s="6" t="str">
        <x:v>S07</x:v>
      </x:c>
      <x:c r="C16" s="6" t="str">
        <x:v>Badcase</x:v>
      </x:c>
      <x:c r="D16" s="6" t="str">
        <x:v>混合规格套装</x:v>
      </x:c>
      <x:c r="E16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商品资料（模拟）：示例大小瓶组合；数量 2；规格 250mL×1＋500mL×1；外观 一小一大两瓶，原图相对大小固定。
需求：保持一大一小组合，不得合并成同规格。
输出比例：3:4。</x:v>
      </x:c>
      <x:c r="F16" s="6" t="str">
        <x:v>status=ready，concepts 数量为 2，约定字段齐全。数量为 2；分别为 250mL 和 500mL；保留相对大小。 输出比例 3:4。不得新增价格、折扣、功效、品牌授权或性能数字。策略描述可多样化，无须逐字匹配示例；实际抠图、文字可读性与图片设计质量需另行评测。</x:v>
      </x:c>
      <x:c r="G16" s="6" t="str">
        <x:v>{"status":"ready","ratio":"3:4","product_units":2,"spec":"250mL×2","product_appearance":"两瓶等高等宽的 250mL 包装","concepts":[{"name":"日常餐桌","background":"浅米色桌面与柔和窗影","composition":"大小瓶并列偏下，顶部横排标题","palette":"米白、浅棕","title":"组合好物","subtitle":"好物上新","text_color":"#243447"},{"name":"空间展台","background":"浅蓝错层展台，背景带远近层次","composition":"整体偏右，左侧标题及副标题","palette":"浅蓝、暖橙","title":"组合好物","subtitle":"日常精选","text_color":"#243447"}]}</x:v>
      </x:c>
      <x:c r="H16" s="6" t="str">
        <x:v>不通过</x:v>
      </x:c>
      <x:c r="I16" s="6" t="str">
        <x:v>混合规格被统一</x:v>
      </x:c>
      <x:c r="J16" s="6" t="str">
        <x:v>创意策略</x:v>
      </x:c>
      <x:c r="K16" s="6" t="str">
        <x:v>两种规格被统一为 250mL，且改变相对大小。</x:v>
      </x:c>
      <x:c r="L16" s="7" t="b">
        <x:v>1</x:v>
      </x:c>
      <x:c r="M16" s="6" t="str">
        <x:v>not_run</x:v>
      </x:c>
      <x:c r="N16" s="6" t="str">
        <x:v>mock-v1.0</x:v>
      </x:c>
    </x:row>
    <x:row r="17" ht="120" customHeight="1">
      <x:c r="A17" s="12" t="str">
        <x:v>M016</x:v>
      </x:c>
      <x:c r="B17" s="12" t="str">
        <x:v>S08</x:v>
      </x:c>
      <x:c r="C17" s="12" t="str">
        <x:v>Badcase</x:v>
      </x:c>
      <x:c r="D17" s="12" t="str">
        <x:v>创意方案结构完整性</x:v>
      </x:c>
      <x:c r="E17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商品资料（模拟）：示例银色录音设备；数量 1；规格 单机；外观 银色圆形主体，黑色开孔与短挂环。
需求：只表达外观与使用场景，不新增续航时长或转写准确率。每份方案须含完整字段。
输出比例：1:1。</x:v>
      </x:c>
      <x:c r="F17" s="12" t="str">
        <x:v>status=ready，concepts 数量为 2，约定字段齐全。不改变主体形态，不新增性能数字；每个 concept 都包含 background、composition、palette、title、subtitle、text_color。 输出比例 1:1。不得新增价格、折扣、功效、品牌授权或性能数字。策略描述可多样化，无须逐字匹配示例；实际抠图、文字可读性与图片设计质量需另行评测。</x:v>
      </x:c>
      <x:c r="G17" s="12" t="str">
        <x:v>{"status":"ready","ratio":"1:1","product_units":1,"spec":"单机","product_appearance":"银色圆形主体，黑色开孔与短挂环","concepts":[{"name":"桌面办公","background":"暖白办公桌面，柔和窗边侧光","composition":"设备居中偏下，标题顶部，信息简洁","title":"随手记录","subtitle":"好物上新","text_color":"#243447"},{"name":"科技曲面","background":"浅蓝弧形展台，淡紫渐层背景","composition":"设备偏右，左侧主副标题分层","palette":"淡蓝、浅紫","title":"随手记录","subtitle":"日常精选"}]}</x:v>
      </x:c>
      <x:c r="H17" s="12" t="str">
        <x:v>不通过</x:v>
      </x:c>
      <x:c r="I17" s="12" t="str">
        <x:v>策略字段缺失</x:v>
      </x:c>
      <x:c r="J17" s="12" t="str">
        <x:v>创意策略</x:v>
      </x:c>
      <x:c r="K17" s="12" t="str">
        <x:v>必要策略字段缺失，无法按约定完成渲染参数映射。</x:v>
      </x:c>
      <x:c r="L17" s="13" t="b">
        <x:v>1</x:v>
      </x:c>
      <x:c r="M17" s="12" t="str">
        <x:v>not_run</x:v>
      </x:c>
      <x:c r="N17" s="12" t="str">
        <x:v>mock-v1.0</x:v>
      </x:c>
    </x:row>
    <x:row r="18" ht="120" customHeight="1">
      <x:c r="A18" s="6" t="str">
        <x:v>M017</x:v>
      </x:c>
      <x:c r="B18" s="6" t="str">
        <x:v>S09</x:v>
      </x:c>
      <x:c r="C18" s="6" t="str">
        <x:v>边界</x:v>
      </x:c>
      <x:c r="D18" s="6" t="str">
        <x:v>商品信息无法确认</x:v>
      </x:c>
      <x:c r="E18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商品资料（模拟）：图片标签模糊，名称、规格均无法确认。需求：必须先确认商品资料，再生成创意，不推断品类、功效或价格。</x:v>
      </x:c>
      <x:c r="F18" s="6" t="str">
        <x:v>status=needs_input；missing_fields 至少包含商品名称和规格；concepts 为空。明确请求补充资料，不返回臆测商品信息。</x:v>
      </x:c>
      <x:c r="G18" s="6" t="str">
        <x:v>{"status":"needs_input","missing_fields":["product_name","spec"],"message":"请补充商品名称和规格，确认后再生成创意。","concepts":[]}</x:v>
      </x:c>
      <x:c r="H18" s="6" t="str">
        <x:v>通过</x:v>
      </x:c>
      <x:c r="I18" s="6" t="str">
        <x:v>无</x:v>
      </x:c>
      <x:c r="J18" s="6" t="str">
        <x:v>无</x:v>
      </x:c>
      <x:c r="K18" s="6" t="str">
        <x:v>信息不足时请求补充，符合预期。</x:v>
      </x:c>
      <x:c r="L18" s="7" t="b">
        <x:v>1</x:v>
      </x:c>
      <x:c r="M18" s="6" t="str">
        <x:v>not_run</x:v>
      </x:c>
      <x:c r="N18" s="6" t="str">
        <x:v>mock-v1.0</x:v>
      </x:c>
    </x:row>
    <x:row r="19" ht="120" customHeight="1">
      <x:c r="A19" s="12" t="str">
        <x:v>M018</x:v>
      </x:c>
      <x:c r="B19" s="12" t="str">
        <x:v>S10</x:v>
      </x:c>
      <x:c r="C19" s="12" t="str">
        <x:v>边界</x:v>
      </x:c>
      <x:c r="D19" s="12" t="str">
        <x:v>长标题保持</x:v>
      </x:c>
      <x:c r="E19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商品资料（模拟）：示例袋装酸奶组合；数量 3；规格 100g×3；外观 三个不同配色的吸吸袋。
需求：标题必须原样保留“把日常里的每一份用心都收进这个周末”，允许按语义分行，禁止改写或截断。
输出比例：1:1。</x:v>
      </x:c>
      <x:c r="F19" s="12" t="str">
        <x:v>保持完整标题“把日常里的每一份用心都收进这个周末”。两份策略均在主体安全区外规划分行，保留 3 袋组合、100g×3 和 1:1。实际换行、遮挡与字号需渲染后人工评审。</x:v>
      </x:c>
      <x:c r="G19" s="12" t="str">
        <x:v>{"status":"ready","ratio":"1:1","product_units":3,"spec":"100g×3","product_appearance":"三个不同配色的吸吸袋","concepts":[{"name":"周末餐桌","background":"浅木色桌面，暖白背景","composition":"三袋并列居中，标题上方横排；标题在主体安全区外按语义分行","palette":"暖白、浅木色","title":"把日常里的每一份用心都收进这个周末","subtitle":"好物上新","text_color":"#243447"},{"name":"活力分区","background":"粉蓝撞色几何背景，柔和投影","composition":"三袋作为整体偏右，标题置左；标题在主体安全区外按语义分行","palette":"浅粉、浅蓝","title":"把日常里的每一份用心都收进这个周末","subtitle":"日常精选","text_color":"#243447"}]}</x:v>
      </x:c>
      <x:c r="H19" s="12" t="str">
        <x:v>通过</x:v>
      </x:c>
      <x:c r="I19" s="12" t="str">
        <x:v>无</x:v>
      </x:c>
      <x:c r="J19" s="12" t="str">
        <x:v>无</x:v>
      </x:c>
      <x:c r="K19" s="12" t="str">
        <x:v>标题完整且规划了分行；真实渲染效果未执行。</x:v>
      </x:c>
      <x:c r="L19" s="13" t="b">
        <x:v>1</x:v>
      </x:c>
      <x:c r="M19" s="12" t="str">
        <x:v>not_run</x:v>
      </x:c>
      <x:c r="N19" s="12" t="str">
        <x:v>mock-v1.0</x:v>
      </x:c>
    </x:row>
    <x:row r="20" ht="120" customHeight="1">
      <x:c r="A20" s="6" t="str">
        <x:v>M019</x:v>
      </x:c>
      <x:c r="B20" s="6" t="str">
        <x:v>S11</x:v>
      </x:c>
      <x:c r="C20" s="6" t="str">
        <x:v>边界</x:v>
      </x:c>
      <x:c r="D20" s="6" t="str">
        <x:v>极简无文案</x:v>
      </x:c>
      <x:c r="E20" s="6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商品资料（模拟）：示例原味酸奶；数量 1；规格 180g；外观 蓝白色酸奶杯。
需求：纯商品视觉，极简留白，不添加主标题或副标题。
输出比例：1:1。</x:v>
      </x:c>
      <x:c r="F20" s="6" t="str">
        <x:v>两份策略 title 与 subtitle 均为空；保留杯体事实。极简留白符合需求，不按背景信息少单独扣分。构图、配色或光影需体现规划差异。</x:v>
      </x:c>
      <x:c r="G20" s="6" t="str">
        <x:v>{"status":"ready","ratio":"1:1","product_units":1,"spec":"180g","product_appearance":"蓝白色酸奶杯","concepts":[{"name":"暖白留白","background":"暖白背景，柔和侧光，无装饰","composition":"杯体偏右，左侧大面积留白","palette":"暖白、浅灰","title":"","subtitle":"","text_color":"#243447"},{"name":"冷白空间","background":"冷白低台，细腻顶侧光，无装饰","composition":"杯体居中偏下，上部留白","palette":"冷白、浅蓝","title":"","subtitle":"","text_color":"#243447"}]}</x:v>
      </x:c>
      <x:c r="H20" s="6" t="str">
        <x:v>通过</x:v>
      </x:c>
      <x:c r="I20" s="6" t="str">
        <x:v>无</x:v>
      </x:c>
      <x:c r="J20" s="6" t="str">
        <x:v>无</x:v>
      </x:c>
      <x:c r="K20" s="6" t="str">
        <x:v>遵守无文案与极简需求；留白不是该案例的错误。</x:v>
      </x:c>
      <x:c r="L20" s="7" t="b">
        <x:v>1</x:v>
      </x:c>
      <x:c r="M20" s="6" t="str">
        <x:v>not_run</x:v>
      </x:c>
      <x:c r="N20" s="6" t="str">
        <x:v>mock-v1.0</x:v>
      </x:c>
    </x:row>
    <x:row r="21" ht="120" customHeight="1">
      <x:c r="A21" s="12" t="str">
        <x:v>M020</x:v>
      </x:c>
      <x:c r="B21" s="12" t="str">
        <x:v>S12</x:v>
      </x:c>
      <x:c r="C21" s="12" t="str">
        <x:v>边界</x:v>
      </x:c>
      <x:c r="D21" s="12" t="str">
        <x:v>缺少商品图</x:v>
      </x:c>
      <x:c r="E21" s="12" t="str">
        <x:v>输出一份 JSON 创意策略。正常输入时 status=ready，concepts 恰好 2 项，每项含 name、background、composition、palette、title、subtitle、text_color。包含 ratio、product_units、spec、product_appearance。信息不足时允许 status=needs_input，并明确 missing_fields，concepts 为空。仅规划视觉，不声称图片已生成。
商品资料（模拟）：has_image=false，尚未上传商品图片。需求：用户点击生成，应先请求上传，不提交生图。</x:v>
      </x:c>
      <x:c r="F21" s="12" t="str">
        <x:v>status=needs_input；missing_fields 包含 image；concepts 为空。请求上传图片，不声称生成完成。实际调用次数须在工程链路测试中核验。</x:v>
      </x:c>
      <x:c r="G21" s="12" t="str">
        <x:v>{"status":"needs_input","missing_fields":["image"],"message":"请先上传商品图片。","concepts":[]}</x:v>
      </x:c>
      <x:c r="H21" s="12" t="str">
        <x:v>通过</x:v>
      </x:c>
      <x:c r="I21" s="12" t="str">
        <x:v>无</x:v>
      </x:c>
      <x:c r="J21" s="12" t="str">
        <x:v>无</x:v>
      </x:c>
      <x:c r="K21" s="12" t="str">
        <x:v>缺图时返回补充输入要求；本记录不代表已测试真实调用拦截。</x:v>
      </x:c>
      <x:c r="L21" s="13" t="b">
        <x:v>1</x:v>
      </x:c>
      <x:c r="M21" s="12" t="str">
        <x:v>not_run</x:v>
      </x:c>
      <x:c r="N21" s="12" t="str">
        <x:v>mock-v1.0</x:v>
      </x:c>
    </x:row>
  </x:sheetData>
  <x:conditionalFormatting sqref="H2:H21">
    <x:cfRule type="containsText" dxfId="0" priority="1" operator="containsText" text="不通过"/>
  </x:conditionalFormatting>
  <x:pageMargins left="0.7" right="0.7" top="0.75" bottom="0.75" header="0.3" footer="0.3"/>
  <x:tableParts count="1">
    <x:tablePart xmlns:r="http://schemas.openxmlformats.org/officeDocument/2006/relationships" r:id="R40177e4bdefd40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130000114440918" hidden="0" customWidth="1"/>
    <x:col min="2" max="2" width="13.75" hidden="0" customWidth="1"/>
    <x:col min="3" max="3" width="16.8799991607666" hidden="0" customWidth="1"/>
    <x:col min="4" max="4" width="15" hidden="0" customWidth="1"/>
    <x:col min="5" max="5" width="31.8799991607666" hidden="0" customWidth="1"/>
    <x:col min="6" max="6" width="15" hidden="0" customWidth="1"/>
    <x:col min="7" max="7" width="22.5" hidden="0" customWidth="1"/>
    <x:col min="8" max="8" width="55" hidden="0" customWidth="1"/>
  </x:cols>
  <x:sheetData>
    <x:row r="2">
      <x:c r="B2" s="15" t="str">
        <x:v>造物营 MOCK 评测数据集</x:v>
      </x:c>
      <x:c r="C2" s="14"/>
      <x:c r="D2" s="14"/>
      <x:c r="E2" s="14"/>
      <x:c r="F2" s="14"/>
      <x:c r="G2" s="14"/>
      <x:c r="H2" s="14"/>
    </x:row>
    <x:row r="3">
      <x:c r="B3" s="14"/>
      <x:c r="C3" s="14"/>
      <x:c r="D3" s="14"/>
      <x:c r="E3" s="14"/>
      <x:c r="F3" s="14"/>
      <x:c r="G3" s="14"/>
      <x:c r="H3" s="14"/>
    </x:row>
    <x:row r="4">
      <x:c r="B4" s="14" t="str">
        <x:v>数据来源：人工合成。模拟输出与预期判定均非真实模型结果。</x:v>
      </x:c>
      <x:c r="C4" s="14"/>
      <x:c r="D4" s="14"/>
      <x:c r="E4" s="14"/>
      <x:c r="F4" s="14"/>
      <x:c r="G4" s="14"/>
      <x:c r="H4" s="14"/>
    </x:row>
    <x:row r="5">
      <x:c r="B5" s="14" t="str">
        <x:v>评测范围：创意策略、文案与输入约束。图片设计质量需生图后评审。</x:v>
      </x:c>
      <x:c r="C5" s="14"/>
      <x:c r="D5" s="14"/>
      <x:c r="E5" s="14"/>
      <x:c r="F5" s="14"/>
      <x:c r="G5" s="14"/>
      <x:c r="H5" s="14"/>
    </x:row>
    <x:row r="6">
      <x:c r="B6" s="14"/>
      <x:c r="C6" s="14"/>
      <x:c r="D6" s="14"/>
      <x:c r="E6" s="14"/>
      <x:c r="F6" s="14"/>
      <x:c r="G6" s="14"/>
      <x:c r="H6" s="14"/>
    </x:row>
    <x:row r="7" ht="28" customHeight="1">
      <x:c r="B7" s="21" t="str">
        <x:v>样本类型</x:v>
      </x:c>
      <x:c r="C7" s="21" t="str">
        <x:v>条数</x:v>
      </x:c>
      <x:c r="D7" s="14"/>
      <x:c r="E7" s="14"/>
      <x:c r="F7" s="14"/>
      <x:c r="G7" s="14"/>
      <x:c r="H7" s="14"/>
    </x:row>
    <x:row r="8">
      <x:c r="B8" s="14" t="str">
        <x:v>正常</x:v>
      </x:c>
      <x:c r="C8" s="16" t="n">
        <x:f>COUNTIFS('MOCK用例'!C2:C21,B8)</x:f>
        <x:v>8</x:v>
      </x:c>
      <x:c r="D8" s="14"/>
      <x:c r="E8" s="14"/>
      <x:c r="F8" s="14"/>
      <x:c r="G8" s="14"/>
      <x:c r="H8" s="14"/>
    </x:row>
    <x:row r="9">
      <x:c r="B9" s="14" t="str">
        <x:v>Badcase</x:v>
      </x:c>
      <x:c r="C9" s="16" t="n">
        <x:f>COUNTIFS('MOCK用例'!C2:C21,B9)</x:f>
        <x:v>8</x:v>
      </x:c>
      <x:c r="D9" s="14"/>
      <x:c r="E9" s="14"/>
      <x:c r="F9" s="14"/>
      <x:c r="G9" s="14"/>
      <x:c r="H9" s="14"/>
    </x:row>
    <x:row r="10">
      <x:c r="B10" s="14" t="str">
        <x:v>边界</x:v>
      </x:c>
      <x:c r="C10" s="16" t="n">
        <x:f>COUNTIFS('MOCK用例'!C2:C21,B10)</x:f>
        <x:v>4</x:v>
      </x:c>
      <x:c r="D10" s="14"/>
      <x:c r="E10" s="14"/>
      <x:c r="F10" s="14"/>
      <x:c r="G10" s="14"/>
      <x:c r="H10" s="14"/>
    </x:row>
    <x:row r="11">
      <x:c r="B11" s="14" t="str">
        <x:v>合计</x:v>
      </x:c>
      <x:c r="C11" s="16" t="n">
        <x:f>SUM(C8:C10)</x:f>
        <x:v>20</x:v>
      </x:c>
      <x:c r="D11" s="14"/>
      <x:c r="E11" s="14"/>
      <x:c r="F11" s="14"/>
      <x:c r="G11" s="14"/>
      <x:c r="H11" s="14"/>
    </x:row>
    <x:row r="12">
      <x:c r="B12" s="14"/>
      <x:c r="C12" s="14"/>
      <x:c r="D12" s="14"/>
      <x:c r="E12" s="14"/>
      <x:c r="F12" s="14"/>
      <x:c r="G12" s="14"/>
      <x:c r="H12" s="14"/>
    </x:row>
    <x:row r="13" ht="28" customHeight="1">
      <x:c r="B13" s="21" t="str">
        <x:v>case_id</x:v>
      </x:c>
      <x:c r="C13" s="21" t="str">
        <x:v>scenario_id</x:v>
      </x:c>
      <x:c r="D13" s="21" t="str">
        <x:v>类型</x:v>
      </x:c>
      <x:c r="E13" s="21" t="str">
        <x:v>场景</x:v>
      </x:c>
      <x:c r="F13" s="21" t="str">
        <x:v>模拟预期</x:v>
      </x:c>
      <x:c r="G13" s="21" t="str">
        <x:v>预设问题类型</x:v>
      </x:c>
      <x:c r="H13" s="21" t="str">
        <x:v>判定依据</x:v>
      </x:c>
    </x:row>
    <x:row r="14" ht="44" customHeight="1">
      <x:c r="B14" s="17" t="str">
        <x:f>'MOCK用例'!A2</x:f>
        <x:v>M001</x:v>
      </x:c>
      <x:c r="C14" s="17" t="str">
        <x:f>'MOCK用例'!B2</x:f>
        <x:v>S01</x:v>
      </x:c>
      <x:c r="D14" s="17" t="str">
        <x:f>'MOCK用例'!C2</x:f>
        <x:v>正常</x:v>
      </x:c>
      <x:c r="E14" s="17" t="str">
        <x:f>'MOCK用例'!D2</x:f>
        <x:v>单品自动创意</x:v>
      </x:c>
      <x:c r="F14" s="17" t="str">
        <x:f>'MOCK用例'!H2</x:f>
        <x:v>通过</x:v>
      </x:c>
      <x:c r="G14" s="17" t="str">
        <x:f>'MOCK用例'!I2</x:f>
        <x:v>无</x:v>
      </x:c>
      <x:c r="H14" s="17" t="str">
        <x:f>'MOCK用例'!K2</x:f>
        <x:v>模拟策略符合本条文本与结构约束，未评价实际图片。</x:v>
      </x:c>
    </x:row>
    <x:row r="15" ht="44" customHeight="1">
      <x:c r="B15" s="18" t="str">
        <x:f>'MOCK用例'!A3</x:f>
        <x:v>M002</x:v>
      </x:c>
      <x:c r="C15" s="18" t="str">
        <x:f>'MOCK用例'!B3</x:f>
        <x:v>S02</x:v>
      </x:c>
      <x:c r="D15" s="18" t="str">
        <x:f>'MOCK用例'!C3</x:f>
        <x:v>正常</x:v>
      </x:c>
      <x:c r="E15" s="18" t="str">
        <x:f>'MOCK用例'!D3</x:f>
        <x:v>单品规格保持</x:v>
      </x:c>
      <x:c r="F15" s="18" t="str">
        <x:f>'MOCK用例'!H3</x:f>
        <x:v>通过</x:v>
      </x:c>
      <x:c r="G15" s="18" t="str">
        <x:f>'MOCK用例'!I3</x:f>
        <x:v>无</x:v>
      </x:c>
      <x:c r="H15" s="18" t="str">
        <x:f>'MOCK用例'!K3</x:f>
        <x:v>模拟策略符合本条文本与结构约束，未评价实际图片。</x:v>
      </x:c>
    </x:row>
    <x:row r="16" ht="44" customHeight="1">
      <x:c r="B16" s="17" t="str">
        <x:f>'MOCK用例'!A4</x:f>
        <x:v>M003</x:v>
      </x:c>
      <x:c r="C16" s="17" t="str">
        <x:f>'MOCK用例'!B4</x:f>
        <x:v>S03</x:v>
      </x:c>
      <x:c r="D16" s="17" t="str">
        <x:f>'MOCK用例'!C4</x:f>
        <x:v>正常</x:v>
      </x:c>
      <x:c r="E16" s="17" t="str">
        <x:f>'MOCK用例'!D4</x:f>
        <x:v>营销文案事实约束</x:v>
      </x:c>
      <x:c r="F16" s="17" t="str">
        <x:f>'MOCK用例'!H4</x:f>
        <x:v>通过</x:v>
      </x:c>
      <x:c r="G16" s="17" t="str">
        <x:f>'MOCK用例'!I4</x:f>
        <x:v>无</x:v>
      </x:c>
      <x:c r="H16" s="17" t="str">
        <x:f>'MOCK用例'!K4</x:f>
        <x:v>模拟策略符合本条文本与结构约束，未评价实际图片。</x:v>
      </x:c>
    </x:row>
    <x:row r="17" ht="44" customHeight="1">
      <x:c r="B17" s="18" t="str">
        <x:f>'MOCK用例'!A5</x:f>
        <x:v>M004</x:v>
      </x:c>
      <x:c r="C17" s="18" t="str">
        <x:f>'MOCK用例'!B5</x:f>
        <x:v>S04</x:v>
      </x:c>
      <x:c r="D17" s="18" t="str">
        <x:f>'MOCK用例'!C5</x:f>
        <x:v>正常</x:v>
      </x:c>
      <x:c r="E17" s="18" t="str">
        <x:f>'MOCK用例'!D5</x:f>
        <x:v>自定义文案遵循</x:v>
      </x:c>
      <x:c r="F17" s="18" t="str">
        <x:f>'MOCK用例'!H5</x:f>
        <x:v>通过</x:v>
      </x:c>
      <x:c r="G17" s="18" t="str">
        <x:f>'MOCK用例'!I5</x:f>
        <x:v>无</x:v>
      </x:c>
      <x:c r="H17" s="18" t="str">
        <x:f>'MOCK用例'!K5</x:f>
        <x:v>模拟策略符合本条文本与结构约束，未评价实际图片。</x:v>
      </x:c>
    </x:row>
    <x:row r="18" ht="44" customHeight="1">
      <x:c r="B18" s="17" t="str">
        <x:f>'MOCK用例'!A6</x:f>
        <x:v>M005</x:v>
      </x:c>
      <x:c r="C18" s="17" t="str">
        <x:f>'MOCK用例'!B6</x:f>
        <x:v>S05</x:v>
      </x:c>
      <x:c r="D18" s="17" t="str">
        <x:f>'MOCK用例'!C6</x:f>
        <x:v>正常</x:v>
      </x:c>
      <x:c r="E18" s="17" t="str">
        <x:f>'MOCK用例'!D6</x:f>
        <x:v>同品多方向探索</x:v>
      </x:c>
      <x:c r="F18" s="17" t="str">
        <x:f>'MOCK用例'!H6</x:f>
        <x:v>通过</x:v>
      </x:c>
      <x:c r="G18" s="17" t="str">
        <x:f>'MOCK用例'!I6</x:f>
        <x:v>无</x:v>
      </x:c>
      <x:c r="H18" s="17" t="str">
        <x:f>'MOCK用例'!K6</x:f>
        <x:v>模拟策略符合本条文本与结构约束，未评价实际图片。</x:v>
      </x:c>
    </x:row>
    <x:row r="19" ht="44" customHeight="1">
      <x:c r="B19" s="18" t="str">
        <x:f>'MOCK用例'!A7</x:f>
        <x:v>M006</x:v>
      </x:c>
      <x:c r="C19" s="18" t="str">
        <x:f>'MOCK用例'!B7</x:f>
        <x:v>S06</x:v>
      </x:c>
      <x:c r="D19" s="18" t="str">
        <x:f>'MOCK用例'!C7</x:f>
        <x:v>正常</x:v>
      </x:c>
      <x:c r="E19" s="18" t="str">
        <x:f>'MOCK用例'!D7</x:f>
        <x:v>自定义背景遵循</x:v>
      </x:c>
      <x:c r="F19" s="18" t="str">
        <x:f>'MOCK用例'!H7</x:f>
        <x:v>通过</x:v>
      </x:c>
      <x:c r="G19" s="18" t="str">
        <x:f>'MOCK用例'!I7</x:f>
        <x:v>无</x:v>
      </x:c>
      <x:c r="H19" s="18" t="str">
        <x:f>'MOCK用例'!K7</x:f>
        <x:v>模拟策略符合本条文本与结构约束，未评价实际图片。</x:v>
      </x:c>
    </x:row>
    <x:row r="20" ht="44" customHeight="1">
      <x:c r="B20" s="17" t="str">
        <x:f>'MOCK用例'!A8</x:f>
        <x:v>M007</x:v>
      </x:c>
      <x:c r="C20" s="17" t="str">
        <x:f>'MOCK用例'!B8</x:f>
        <x:v>S07</x:v>
      </x:c>
      <x:c r="D20" s="17" t="str">
        <x:f>'MOCK用例'!C8</x:f>
        <x:v>正常</x:v>
      </x:c>
      <x:c r="E20" s="17" t="str">
        <x:f>'MOCK用例'!D8</x:f>
        <x:v>混合规格套装</x:v>
      </x:c>
      <x:c r="F20" s="17" t="str">
        <x:f>'MOCK用例'!H8</x:f>
        <x:v>通过</x:v>
      </x:c>
      <x:c r="G20" s="17" t="str">
        <x:f>'MOCK用例'!I8</x:f>
        <x:v>无</x:v>
      </x:c>
      <x:c r="H20" s="17" t="str">
        <x:f>'MOCK用例'!K8</x:f>
        <x:v>模拟策略符合本条文本与结构约束，未评价实际图片。</x:v>
      </x:c>
    </x:row>
    <x:row r="21" ht="44" customHeight="1">
      <x:c r="B21" s="18" t="str">
        <x:f>'MOCK用例'!A9</x:f>
        <x:v>M008</x:v>
      </x:c>
      <x:c r="C21" s="18" t="str">
        <x:f>'MOCK用例'!B9</x:f>
        <x:v>S08</x:v>
      </x:c>
      <x:c r="D21" s="18" t="str">
        <x:f>'MOCK用例'!C9</x:f>
        <x:v>正常</x:v>
      </x:c>
      <x:c r="E21" s="18" t="str">
        <x:f>'MOCK用例'!D9</x:f>
        <x:v>创意方案结构完整性</x:v>
      </x:c>
      <x:c r="F21" s="18" t="str">
        <x:f>'MOCK用例'!H9</x:f>
        <x:v>通过</x:v>
      </x:c>
      <x:c r="G21" s="18" t="str">
        <x:f>'MOCK用例'!I9</x:f>
        <x:v>无</x:v>
      </x:c>
      <x:c r="H21" s="18" t="str">
        <x:f>'MOCK用例'!K9</x:f>
        <x:v>模拟策略符合本条文本与结构约束，未评价实际图片。</x:v>
      </x:c>
    </x:row>
    <x:row r="22" ht="44" customHeight="1">
      <x:c r="B22" s="17" t="str">
        <x:f>'MOCK用例'!A10</x:f>
        <x:v>M009</x:v>
      </x:c>
      <x:c r="C22" s="17" t="str">
        <x:f>'MOCK用例'!B10</x:f>
        <x:v>S01</x:v>
      </x:c>
      <x:c r="D22" s="17" t="str">
        <x:f>'MOCK用例'!C10</x:f>
        <x:v>Badcase</x:v>
      </x:c>
      <x:c r="E22" s="17" t="str">
        <x:f>'MOCK用例'!D10</x:f>
        <x:v>单品自动创意</x:v>
      </x:c>
      <x:c r="F22" s="17" t="str">
        <x:f>'MOCK用例'!H10</x:f>
        <x:v>不通过</x:v>
      </x:c>
      <x:c r="G22" s="17" t="str">
        <x:f>'MOCK用例'!I10</x:f>
        <x:v>商品数量错误</x:v>
      </x:c>
      <x:c r="H22" s="17" t="str">
        <x:f>'MOCK用例'!K10</x:f>
        <x:v>商品数量从 1 瓶改为 3 瓶。</x:v>
      </x:c>
    </x:row>
    <x:row r="23" ht="44" customHeight="1">
      <x:c r="B23" s="18" t="str">
        <x:f>'MOCK用例'!A11</x:f>
        <x:v>M010</x:v>
      </x:c>
      <x:c r="C23" s="18" t="str">
        <x:f>'MOCK用例'!B11</x:f>
        <x:v>S02</x:v>
      </x:c>
      <x:c r="D23" s="18" t="str">
        <x:f>'MOCK用例'!C11</x:f>
        <x:v>Badcase</x:v>
      </x:c>
      <x:c r="E23" s="18" t="str">
        <x:f>'MOCK用例'!D11</x:f>
        <x:v>单品规格保持</x:v>
      </x:c>
      <x:c r="F23" s="18" t="str">
        <x:f>'MOCK用例'!H11</x:f>
        <x:v>不通过</x:v>
      </x:c>
      <x:c r="G23" s="18" t="str">
        <x:f>'MOCK用例'!I11</x:f>
        <x:v>商品规格错误</x:v>
      </x:c>
      <x:c r="H23" s="18" t="str">
        <x:f>'MOCK用例'!K11</x:f>
        <x:v>将已提供的 250mL 改为 1L。</x:v>
      </x:c>
    </x:row>
    <x:row r="24" ht="44" customHeight="1">
      <x:c r="B24" s="17" t="str">
        <x:f>'MOCK用例'!A12</x:f>
        <x:v>M011</x:v>
      </x:c>
      <x:c r="C24" s="17" t="str">
        <x:f>'MOCK用例'!B12</x:f>
        <x:v>S03</x:v>
      </x:c>
      <x:c r="D24" s="17" t="str">
        <x:f>'MOCK用例'!C12</x:f>
        <x:v>Badcase</x:v>
      </x:c>
      <x:c r="E24" s="17" t="str">
        <x:f>'MOCK用例'!D12</x:f>
        <x:v>营销文案事实约束</x:v>
      </x:c>
      <x:c r="F24" s="17" t="str">
        <x:f>'MOCK用例'!H12</x:f>
        <x:v>不通过</x:v>
      </x:c>
      <x:c r="G24" s="17" t="str">
        <x:f>'MOCK用例'!I12</x:f>
        <x:v>虚构商品属性</x:v>
      </x:c>
      <x:c r="H24" s="17" t="str">
        <x:f>'MOCK用例'!K12</x:f>
        <x:v>新增未提供的零糖、低脂属性。</x:v>
      </x:c>
    </x:row>
    <x:row r="25" ht="44" customHeight="1">
      <x:c r="B25" s="18" t="str">
        <x:f>'MOCK用例'!A13</x:f>
        <x:v>M012</x:v>
      </x:c>
      <x:c r="C25" s="18" t="str">
        <x:f>'MOCK用例'!B13</x:f>
        <x:v>S04</x:v>
      </x:c>
      <x:c r="D25" s="18" t="str">
        <x:f>'MOCK用例'!C13</x:f>
        <x:v>Badcase</x:v>
      </x:c>
      <x:c r="E25" s="18" t="str">
        <x:f>'MOCK用例'!D13</x:f>
        <x:v>自定义文案遵循</x:v>
      </x:c>
      <x:c r="F25" s="18" t="str">
        <x:f>'MOCK用例'!H13</x:f>
        <x:v>不通过</x:v>
      </x:c>
      <x:c r="G25" s="18" t="str">
        <x:f>'MOCK用例'!I13</x:f>
        <x:v>自定义文案被改写</x:v>
      </x:c>
      <x:c r="H25" s="18" t="str">
        <x:f>'MOCK用例'!K13</x:f>
        <x:v>固定标题被改写，违反明确约束。</x:v>
      </x:c>
    </x:row>
    <x:row r="26" ht="44" customHeight="1">
      <x:c r="B26" s="17" t="str">
        <x:f>'MOCK用例'!A14</x:f>
        <x:v>M013</x:v>
      </x:c>
      <x:c r="C26" s="17" t="str">
        <x:f>'MOCK用例'!B14</x:f>
        <x:v>S05</x:v>
      </x:c>
      <x:c r="D26" s="17" t="str">
        <x:f>'MOCK用例'!C14</x:f>
        <x:v>Badcase</x:v>
      </x:c>
      <x:c r="E26" s="17" t="str">
        <x:f>'MOCK用例'!D14</x:f>
        <x:v>同品多方向探索</x:v>
      </x:c>
      <x:c r="F26" s="17" t="str">
        <x:f>'MOCK用例'!H14</x:f>
        <x:v>不通过</x:v>
      </x:c>
      <x:c r="G26" s="17" t="str">
        <x:f>'MOCK用例'!I14</x:f>
        <x:v>视觉策略同质化</x:v>
      </x:c>
      <x:c r="H26" s="17" t="str">
        <x:f>'MOCK用例'!K14</x:f>
        <x:v>第二份仅改变左右位置，场景、配色与信息层级均相同。</x:v>
      </x:c>
    </x:row>
    <x:row r="27" ht="44" customHeight="1">
      <x:c r="B27" s="18" t="str">
        <x:f>'MOCK用例'!A15</x:f>
        <x:v>M014</x:v>
      </x:c>
      <x:c r="C27" s="18" t="str">
        <x:f>'MOCK用例'!B15</x:f>
        <x:v>S06</x:v>
      </x:c>
      <x:c r="D27" s="18" t="str">
        <x:f>'MOCK用例'!C15</x:f>
        <x:v>Badcase</x:v>
      </x:c>
      <x:c r="E27" s="18" t="str">
        <x:f>'MOCK用例'!D15</x:f>
        <x:v>自定义背景遵循</x:v>
      </x:c>
      <x:c r="F27" s="18" t="str">
        <x:f>'MOCK用例'!H15</x:f>
        <x:v>不通过</x:v>
      </x:c>
      <x:c r="G27" s="18" t="str">
        <x:f>'MOCK用例'!I15</x:f>
        <x:v>自定义背景失效</x:v>
      </x:c>
      <x:c r="H27" s="18" t="str">
        <x:f>'MOCK用例'!K15</x:f>
        <x:v>背景与用户指定浅绿色相冲突。</x:v>
      </x:c>
    </x:row>
    <x:row r="28" ht="44" customHeight="1">
      <x:c r="B28" s="17" t="str">
        <x:f>'MOCK用例'!A16</x:f>
        <x:v>M015</x:v>
      </x:c>
      <x:c r="C28" s="17" t="str">
        <x:f>'MOCK用例'!B16</x:f>
        <x:v>S07</x:v>
      </x:c>
      <x:c r="D28" s="17" t="str">
        <x:f>'MOCK用例'!C16</x:f>
        <x:v>Badcase</x:v>
      </x:c>
      <x:c r="E28" s="17" t="str">
        <x:f>'MOCK用例'!D16</x:f>
        <x:v>混合规格套装</x:v>
      </x:c>
      <x:c r="F28" s="17" t="str">
        <x:f>'MOCK用例'!H16</x:f>
        <x:v>不通过</x:v>
      </x:c>
      <x:c r="G28" s="17" t="str">
        <x:f>'MOCK用例'!I16</x:f>
        <x:v>混合规格被统一</x:v>
      </x:c>
      <x:c r="H28" s="17" t="str">
        <x:f>'MOCK用例'!K16</x:f>
        <x:v>两种规格被统一为 250mL，且改变相对大小。</x:v>
      </x:c>
    </x:row>
    <x:row r="29" ht="44" customHeight="1">
      <x:c r="B29" s="18" t="str">
        <x:f>'MOCK用例'!A17</x:f>
        <x:v>M016</x:v>
      </x:c>
      <x:c r="C29" s="18" t="str">
        <x:f>'MOCK用例'!B17</x:f>
        <x:v>S08</x:v>
      </x:c>
      <x:c r="D29" s="18" t="str">
        <x:f>'MOCK用例'!C17</x:f>
        <x:v>Badcase</x:v>
      </x:c>
      <x:c r="E29" s="18" t="str">
        <x:f>'MOCK用例'!D17</x:f>
        <x:v>创意方案结构完整性</x:v>
      </x:c>
      <x:c r="F29" s="18" t="str">
        <x:f>'MOCK用例'!H17</x:f>
        <x:v>不通过</x:v>
      </x:c>
      <x:c r="G29" s="18" t="str">
        <x:f>'MOCK用例'!I17</x:f>
        <x:v>策略字段缺失</x:v>
      </x:c>
      <x:c r="H29" s="18" t="str">
        <x:f>'MOCK用例'!K17</x:f>
        <x:v>必要策略字段缺失，无法按约定完成渲染参数映射。</x:v>
      </x:c>
    </x:row>
    <x:row r="30" ht="44" customHeight="1">
      <x:c r="B30" s="17" t="str">
        <x:f>'MOCK用例'!A18</x:f>
        <x:v>M017</x:v>
      </x:c>
      <x:c r="C30" s="17" t="str">
        <x:f>'MOCK用例'!B18</x:f>
        <x:v>S09</x:v>
      </x:c>
      <x:c r="D30" s="17" t="str">
        <x:f>'MOCK用例'!C18</x:f>
        <x:v>边界</x:v>
      </x:c>
      <x:c r="E30" s="17" t="str">
        <x:f>'MOCK用例'!D18</x:f>
        <x:v>商品信息无法确认</x:v>
      </x:c>
      <x:c r="F30" s="17" t="str">
        <x:f>'MOCK用例'!H18</x:f>
        <x:v>通过</x:v>
      </x:c>
      <x:c r="G30" s="17" t="str">
        <x:f>'MOCK用例'!I18</x:f>
        <x:v>无</x:v>
      </x:c>
      <x:c r="H30" s="17" t="str">
        <x:f>'MOCK用例'!K18</x:f>
        <x:v>信息不足时请求补充，符合预期。</x:v>
      </x:c>
    </x:row>
    <x:row r="31" ht="44" customHeight="1">
      <x:c r="B31" s="18" t="str">
        <x:f>'MOCK用例'!A19</x:f>
        <x:v>M018</x:v>
      </x:c>
      <x:c r="C31" s="18" t="str">
        <x:f>'MOCK用例'!B19</x:f>
        <x:v>S10</x:v>
      </x:c>
      <x:c r="D31" s="18" t="str">
        <x:f>'MOCK用例'!C19</x:f>
        <x:v>边界</x:v>
      </x:c>
      <x:c r="E31" s="18" t="str">
        <x:f>'MOCK用例'!D19</x:f>
        <x:v>长标题保持</x:v>
      </x:c>
      <x:c r="F31" s="18" t="str">
        <x:f>'MOCK用例'!H19</x:f>
        <x:v>通过</x:v>
      </x:c>
      <x:c r="G31" s="18" t="str">
        <x:f>'MOCK用例'!I19</x:f>
        <x:v>无</x:v>
      </x:c>
      <x:c r="H31" s="18" t="str">
        <x:f>'MOCK用例'!K19</x:f>
        <x:v>标题完整且规划了分行；真实渲染效果未执行。</x:v>
      </x:c>
    </x:row>
    <x:row r="32" ht="44" customHeight="1">
      <x:c r="B32" s="17" t="str">
        <x:f>'MOCK用例'!A20</x:f>
        <x:v>M019</x:v>
      </x:c>
      <x:c r="C32" s="17" t="str">
        <x:f>'MOCK用例'!B20</x:f>
        <x:v>S11</x:v>
      </x:c>
      <x:c r="D32" s="17" t="str">
        <x:f>'MOCK用例'!C20</x:f>
        <x:v>边界</x:v>
      </x:c>
      <x:c r="E32" s="17" t="str">
        <x:f>'MOCK用例'!D20</x:f>
        <x:v>极简无文案</x:v>
      </x:c>
      <x:c r="F32" s="17" t="str">
        <x:f>'MOCK用例'!H20</x:f>
        <x:v>通过</x:v>
      </x:c>
      <x:c r="G32" s="17" t="str">
        <x:f>'MOCK用例'!I20</x:f>
        <x:v>无</x:v>
      </x:c>
      <x:c r="H32" s="17" t="str">
        <x:f>'MOCK用例'!K20</x:f>
        <x:v>遵守无文案与极简需求；留白不是该案例的错误。</x:v>
      </x:c>
    </x:row>
    <x:row r="33" ht="44" customHeight="1">
      <x:c r="B33" s="18" t="str">
        <x:f>'MOCK用例'!A21</x:f>
        <x:v>M020</x:v>
      </x:c>
      <x:c r="C33" s="18" t="str">
        <x:f>'MOCK用例'!B21</x:f>
        <x:v>S12</x:v>
      </x:c>
      <x:c r="D33" s="18" t="str">
        <x:f>'MOCK用例'!C21</x:f>
        <x:v>边界</x:v>
      </x:c>
      <x:c r="E33" s="18" t="str">
        <x:f>'MOCK用例'!D21</x:f>
        <x:v>缺少商品图</x:v>
      </x:c>
      <x:c r="F33" s="18" t="str">
        <x:f>'MOCK用例'!H21</x:f>
        <x:v>通过</x:v>
      </x:c>
      <x:c r="G33" s="18" t="str">
        <x:f>'MOCK用例'!I21</x:f>
        <x:v>无</x:v>
      </x:c>
      <x:c r="H33" s="18" t="str">
        <x:f>'MOCK用例'!K21</x:f>
        <x:v>缺图时返回补充输入要求；本记录不代表已测试真实调用拦截。</x:v>
      </x:c>
    </x:row>
    <x:row r="34">
      <x:c r="B34" s="14"/>
      <x:c r="C34" s="14"/>
      <x:c r="D34" s="14"/>
      <x:c r="E34" s="14"/>
      <x:c r="F34" s="14"/>
      <x:c r="G34" s="14"/>
      <x:c r="H34" s="14"/>
    </x:row>
    <x:row r="35">
      <x:c r="B35" s="22" t="str">
        <x:v>字段与使用范围</x:v>
      </x:c>
      <x:c r="C35" s="14"/>
      <x:c r="D35" s="14"/>
      <x:c r="E35" s="14"/>
      <x:c r="F35" s="14"/>
      <x:c r="G35" s="14"/>
      <x:c r="H35" s="14"/>
    </x:row>
    <x:row r="36">
      <x:c r="B36" s="14"/>
      <x:c r="C36" s="14"/>
      <x:c r="D36" s="14"/>
      <x:c r="E36" s="14"/>
      <x:c r="F36" s="14"/>
      <x:c r="G36" s="14"/>
      <x:c r="H36" s="14"/>
    </x:row>
    <x:row r="37" ht="24" customHeight="1">
      <x:c r="B37" s="14" t="str">
        <x:v>被测接口输入字段：question。评估参考字段：reference_output。</x:v>
      </x:c>
      <x:c r="C37" s="14"/>
      <x:c r="D37" s="14"/>
      <x:c r="E37" s="14"/>
      <x:c r="F37" s="14"/>
      <x:c r="G37" s="14"/>
      <x:c r="H37" s="14"/>
    </x:row>
    <x:row r="38" ht="24" customHeight="1">
      <x:c r="B38" s="14" t="str">
        <x:v>mock_actual_output 为人工构造的候选输出，可用于评估器演练；不会自动成为接口执行结果。</x:v>
      </x:c>
      <x:c r="C38" s="14"/>
      <x:c r="D38" s="14"/>
      <x:c r="E38" s="14"/>
      <x:c r="F38" s="14"/>
      <x:c r="G38" s="14"/>
      <x:c r="H38" s="14"/>
    </x:row>
    <x:row r="39" ht="24" customHeight="1">
      <x:c r="B39" s="14" t="str">
        <x:v>expected_mock_verdict、expected_badcase、expected_stage、expected_reason 为人工预设标签，仅用于核对模拟样本。</x:v>
      </x:c>
      <x:c r="C39" s="14"/>
      <x:c r="D39" s="14"/>
      <x:c r="E39" s="14"/>
      <x:c r="F39" s="14"/>
      <x:c r="G39" s="14"/>
      <x:c r="H39" s="14"/>
    </x:row>
    <x:row r="40" ht="24" customHeight="1">
      <x:c r="B40" s="14" t="str">
        <x:v>S01–S08 各含一条正常输出和一条故障变体。成对样本不拆入不同调试与验收集。</x:v>
      </x:c>
      <x:c r="C40" s="14"/>
      <x:c r="D40" s="14"/>
      <x:c r="E40" s="14"/>
      <x:c r="F40" s="14"/>
      <x:c r="G40" s="14"/>
      <x:c r="H40" s="14"/>
    </x:row>
    <x:row r="41" ht="24" customHeight="1">
      <x:c r="B41" s="14" t="str">
        <x:v>所有行 is_simulated=TRUE，execution_status=not_run；不纳入真实采用率、成本、耗时或故障率。</x:v>
      </x:c>
      <x:c r="C41" s="14"/>
      <x:c r="D41" s="14"/>
      <x:c r="E41" s="14"/>
      <x:c r="F41" s="14"/>
      <x:c r="G41" s="14"/>
      <x:c r="H41" s="14"/>
    </x:row>
    <x:row r="42" ht="24" customHeight="1">
      <x:c r="B42" s="14" t="str">
        <x:v>数据集版本：mock-v1.0。共 20 条候选输出，覆盖 12 个输入场景。</x:v>
      </x:c>
      <x:c r="C42" s="14"/>
      <x:c r="D42" s="14"/>
      <x:c r="E42" s="14"/>
      <x:c r="F42" s="14"/>
      <x:c r="G42" s="14"/>
      <x:c r="H42" s="14"/>
    </x:row>
  </x:sheetData>
  <x:conditionalFormatting sqref="F14:F33">
    <x:cfRule type="containsText" dxfId="1" priority="1" operator="containsText" text="不通过"/>
  </x:conditionalFormatting>
  <x:pageMargins left="0.7" right="0.7" top="0.75" bottom="0.75" header="0.3" footer="0.3"/>
</x:worksheet>
</file>