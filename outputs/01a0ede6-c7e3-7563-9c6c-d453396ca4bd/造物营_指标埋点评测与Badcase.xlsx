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b1753c9aad49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评测汇总" sheetId="1" r:id="Rf937bf74bfa14ceb"/>
    <x:sheet xmlns:r="http://schemas.openxmlformats.org/officeDocument/2006/relationships" name="指标口径" sheetId="2" r:id="R9eb16b9217404566"/>
    <x:sheet xmlns:r="http://schemas.openxmlformats.org/officeDocument/2006/relationships" name="埋点设计" sheetId="3" r:id="Rf8691af9f1fb4241"/>
    <x:sheet xmlns:r="http://schemas.openxmlformats.org/officeDocument/2006/relationships" name="评测集" sheetId="4" r:id="R541a42881cdc4dbc"/>
    <x:sheet xmlns:r="http://schemas.openxmlformats.org/officeDocument/2006/relationships" name="运行记录" sheetId="5" r:id="R48aacfa701aa4423"/>
    <x:sheet xmlns:r="http://schemas.openxmlformats.org/officeDocument/2006/relationships" name="图片评分" sheetId="6" r:id="R41b9a6aa8e1b4b1c"/>
    <x:sheet xmlns:r="http://schemas.openxmlformats.org/officeDocument/2006/relationships" name="Badcase归因" sheetId="7" r:id="R00feb776b0d64d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"/>
    <x:numFmt numFmtId="202" formatCode="0.0%"/>
  </x:numFmts>
  <x:fonts count="8">
    <x:font>
      <x:sz val="11"/>
      <x:name val="Carlito"/>
    </x:font>
    <x:font>
      <x:sz val="10"/>
      <x:color rgb="FF292522"/>
      <x:name val="Arial"/>
    </x:font>
    <x:font>
      <x:b/>
      <x:sz val="15"/>
      <x:color rgb="FF292522"/>
      <x:name val="Arial"/>
    </x:font>
    <x:font>
      <x:sz val="10"/>
      <x:color rgb="FF746B63"/>
      <x:name val="Arial"/>
    </x:font>
    <x:font>
      <x:b/>
      <x:sz val="10"/>
      <x:color rgb="FFFFFFFF"/>
      <x:name val="Arial"/>
    </x:font>
    <x:font>
      <x:b/>
      <x:sz val="11"/>
      <x:color rgb="FFFFFFFF"/>
      <x:name val="Carlito"/>
    </x:font>
    <x:font>
      <x:b/>
      <x:sz val="11"/>
      <x:color rgb="FFFFFFFF"/>
      <x:name val="Arial"/>
    </x:font>
    <x:font>
      <x:sz val="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594338"/>
      </x:patternFill>
    </x:fill>
    <x:fill>
      <x:patternFill patternType="solid">
        <x:fgColor rgb="FFF7F4F0"/>
      </x:patternFill>
    </x:fill>
    <x:fill>
      <x:patternFill patternType="solid">
        <x:fgColor rgb="FFFFF2D8"/>
      </x:patternFill>
    </x:fill>
  </x:fills>
  <x:borders count="1">
    <x:border/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201" fontId="1" fillId="4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202" fontId="7" fillId="0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/>
    </x:xf>
    <x:xf numFmtId="202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color rgb="FF9E361F"/>
      </x:font>
      <x:fill>
        <x:patternFill patternType="solid">
          <x:bgColor rgb="FFF9E4DE"/>
        </x:patternFill>
      </x:fill>
    </x:dxf>
    <x:dxf>
      <x:font>
        <x:color rgb="FF9E361F"/>
      </x:font>
      <x:fill>
        <x:patternFill patternType="solid">
          <x:bgColor rgb="FFF9E4D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d87d1bda654f13" /><Relationship Type="http://schemas.openxmlformats.org/officeDocument/2006/relationships/theme" Target="/xl/theme/theme1.xml" Id="R674bb0336e984b5c" /><Relationship Type="http://schemas.openxmlformats.org/officeDocument/2006/relationships/sharedStrings" Target="/xl/sharedStrings.xml" Id="Raa22b8f2827d4ca1" /><Relationship Type="http://schemas.openxmlformats.org/officeDocument/2006/relationships/worksheet" Target="/xl/worksheets/sheet1.xml" Id="Rf937bf74bfa14ceb" /><Relationship Type="http://schemas.openxmlformats.org/officeDocument/2006/relationships/worksheet" Target="/xl/worksheets/sheet2.xml" Id="R9eb16b9217404566" /><Relationship Type="http://schemas.openxmlformats.org/officeDocument/2006/relationships/worksheet" Target="/xl/worksheets/sheet3.xml" Id="Rf8691af9f1fb4241" /><Relationship Type="http://schemas.openxmlformats.org/officeDocument/2006/relationships/worksheet" Target="/xl/worksheets/sheet4.xml" Id="R541a42881cdc4dbc" /><Relationship Type="http://schemas.openxmlformats.org/officeDocument/2006/relationships/worksheet" Target="/xl/worksheets/sheet5.xml" Id="R48aacfa701aa4423" /><Relationship Type="http://schemas.openxmlformats.org/officeDocument/2006/relationships/worksheet" Target="/xl/worksheets/sheet6.xml" Id="R41b9a6aa8e1b4b1c" /><Relationship Type="http://schemas.openxmlformats.org/officeDocument/2006/relationships/worksheet" Target="/xl/worksheets/sheet7.xml" Id="R00feb776b0d64d3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A54821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5" hidden="0" customWidth="1"/>
    <x:col min="2" max="2" width="22.5" hidden="0" customWidth="1"/>
    <x:col min="3" max="3" width="22.5" hidden="0" customWidth="1"/>
    <x:col min="4" max="4" width="83.75" hidden="0" customWidth="1"/>
  </x:cols>
  <x:sheetData>
    <x:row r="1" ht="12" customHeight="1">
      <x:c r="A1" s="2"/>
      <x:c r="B1" s="2"/>
      <x:c r="C1" s="2"/>
      <x:c r="D1" s="2"/>
    </x:row>
    <x:row r="2" ht="30" customHeight="1">
      <x:c r="A2" s="3" t="str">
        <x:v>造物营评测汇总</x:v>
      </x:c>
      <x:c r="B2" s="2"/>
      <x:c r="C2" s="2"/>
      <x:c r="D2" s="2"/>
    </x:row>
    <x:row r="3" ht="32" customHeight="1">
      <x:c r="A3" s="4" t="str">
        <x:v>当前为空白执行模板；所有结果由运行记录与逐图评分计算。</x:v>
      </x:c>
      <x:c r="B3" s="2"/>
      <x:c r="C3" s="2"/>
      <x:c r="D3" s="2"/>
    </x:row>
    <x:row r="4" ht="34" customHeight="1">
      <x:c r="A4" s="8" t="str">
        <x:v>指标</x:v>
      </x:c>
      <x:c r="B4" s="8" t="str">
        <x:v>A 当前基线</x:v>
      </x:c>
      <x:c r="C4" s="8" t="str">
        <x:v>B 改进版本</x:v>
      </x:c>
      <x:c r="D4" s="8" t="str">
        <x:v>统计说明</x:v>
      </x:c>
    </x:row>
    <x:row r="5" ht="32" customHeight="1">
      <x:c r="A5" s="10" t="str">
        <x:v>有效真实视觉首轮任务</x:v>
      </x:c>
      <x:c r="B5" s="20" t="n">
        <x:f>COUNTIFS('运行记录'!$C$5:$C$44,"A",'运行记录'!$O$5:$O$44,1)</x:f>
        <x:v>0</x:v>
      </x:c>
      <x:c r="C5" s="20" t="n">
        <x:f>COUNTIFS('运行记录'!$C$5:$C$44,"B",'运行记录'!$O$5:$O$44,1)</x:f>
        <x:v>0</x:v>
      </x:c>
      <x:c r="D5" s="10" t="str">
        <x:v>运行来源为真实、已完成/失败。缺日志不会被剔除分母，须补齐证据后才给最终判定。</x:v>
      </x:c>
    </x:row>
    <x:row r="6" ht="32" customHeight="1">
      <x:c r="A6" s="9" t="str">
        <x:v>最终判定任务数</x:v>
      </x:c>
      <x:c r="B6" s="21" t="n">
        <x:f>COUNTIFS('运行记录'!$C$5:$C$44,"A",'运行记录'!$O$5:$O$44,1,'运行记录'!$P$5:$P$44,"有可采用")+COUNTIFS('运行记录'!$C$5:$C$44,"A",'运行记录'!$O$5:$O$44,1,'运行记录'!$P$5:$P$44,"无可采用")+COUNTIFS('运行记录'!$C$5:$C$44,"A",'运行记录'!$O$5:$O$44,1,'运行记录'!$P$5:$P$44,"失败")</x:f>
        <x:v>0</x:v>
      </x:c>
      <x:c r="C6" s="21" t="n">
        <x:f>COUNTIFS('运行记录'!$C$5:$C$44,"B",'运行记录'!$O$5:$O$44,1,'运行记录'!$P$5:$P$44,"有可采用")+COUNTIFS('运行记录'!$C$5:$C$44,"B",'运行记录'!$O$5:$O$44,1,'运行记录'!$P$5:$P$44,"无可采用")+COUNTIFS('运行记录'!$C$5:$C$44,"B",'运行记录'!$O$5:$O$44,1,'运行记录'!$P$5:$P$44,"失败")</x:f>
        <x:v>0</x:v>
      </x:c>
      <x:c r="D6" s="9" t="str">
        <x:v>有可采用、无可采用、失败三类。未评与部分交付未关闭时不发布最终采用率。</x:v>
      </x:c>
    </x:row>
    <x:row r="7" ht="32" customHeight="1">
      <x:c r="A7" s="10" t="str">
        <x:v>待补判定任务数</x:v>
      </x:c>
      <x:c r="B7" s="20" t="n">
        <x:f>B5-B6</x:f>
        <x:v>0</x:v>
      </x:c>
      <x:c r="C7" s="20" t="n">
        <x:f>C5-C6</x:f>
        <x:v>0</x:v>
      </x:c>
      <x:c r="D7" s="10" t="str">
        <x:v>应为 0 后再提交该批次结论。</x:v>
      </x:c>
    </x:row>
    <x:row r="8" ht="32" customHeight="1">
      <x:c r="A8" s="9" t="str">
        <x:v>至少一张可采用任务</x:v>
      </x:c>
      <x:c r="B8" s="21" t="n">
        <x:f>COUNTIFS('运行记录'!$C$5:$C$44,"A",'运行记录'!$O$5:$O$44,1,'运行记录'!$P$5:$P$44,"有可采用")</x:f>
        <x:v>0</x:v>
      </x:c>
      <x:c r="C8" s="21" t="n">
        <x:f>COUNTIFS('运行记录'!$C$5:$C$44,"B",'运行记录'!$O$5:$O$44,1,'运行记录'!$P$5:$P$44,"有可采用")</x:f>
        <x:v>0</x:v>
      </x:c>
      <x:c r="D8" s="9" t="str">
        <x:v>逐图门槛与人工采用选择同时满足。</x:v>
      </x:c>
    </x:row>
    <x:row r="9" ht="32" customHeight="1">
      <x:c r="A9" s="10" t="str">
        <x:v>首轮可采用任务率</x:v>
      </x:c>
      <x:c r="B9" s="22" t="str">
        <x:f>IF(B5=0,"未执行",IF(B7&gt;0,"待补评审",B8/B5))</x:f>
        <x:v>未执行</x:v>
      </x:c>
      <x:c r="C9" s="22" t="str">
        <x:f>IF(C5=0,"未执行",IF(C7&gt;0,"待补评审",C8/C5))</x:f>
        <x:v>未执行</x:v>
      </x:c>
      <x:c r="D9" s="10" t="str">
        <x:v>全部执行任务都完成判定后才显示百分比；尚无数据时保持未执行。</x:v>
      </x:c>
    </x:row>
    <x:row r="10" ht="32" customHeight="1">
      <x:c r="A10" s="9" t="str">
        <x:v>完成且全部图片评完</x:v>
      </x:c>
      <x:c r="B10" s="21" t="n">
        <x:f>COUNTIFS('运行记录'!$C$5:$C$44,"A",'运行记录'!$O$5:$O$44,1,'运行记录'!$P$5:$P$44,"有可采用")+COUNTIFS('运行记录'!$C$5:$C$44,"A",'运行记录'!$O$5:$O$44,1,'运行记录'!$P$5:$P$44,"无可采用")</x:f>
        <x:v>0</x:v>
      </x:c>
      <x:c r="C10" s="21" t="n">
        <x:f>COUNTIFS('运行记录'!$C$5:$C$44,"B",'运行记录'!$O$5:$O$44,1,'运行记录'!$P$5:$P$44,"有可采用")+COUNTIFS('运行记录'!$C$5:$C$44,"B",'运行记录'!$O$5:$O$44,1,'运行记录'!$P$5:$P$44,"无可采用")</x:f>
        <x:v>0</x:v>
      </x:c>
      <x:c r="D10" s="9" t="str">
        <x:v>用于展示人工评审完成度，不排除技术失败。</x:v>
      </x:c>
    </x:row>
    <x:row r="11" ht="32" customHeight="1">
      <x:c r="A11" s="10" t="str">
        <x:v>视觉生成完成任务</x:v>
      </x:c>
      <x:c r="B11" s="20" t="n">
        <x:f>COUNTIFS('运行记录'!$C$5:$C$44,"A",'运行记录'!$O$5:$O$44,1,'运行记录'!$F$5:$F$44,"完成")</x:f>
        <x:v>0</x:v>
      </x:c>
      <x:c r="C11" s="20" t="n">
        <x:f>COUNTIFS('运行记录'!$C$5:$C$44,"B",'运行记录'!$O$5:$O$44,1,'运行记录'!$F$5:$F$44,"完成")</x:f>
        <x:v>0</x:v>
      </x:c>
      <x:c r="D11" s="10" t="str">
        <x:v>按运行状态，不自动证明每张都可采用。</x:v>
      </x:c>
    </x:row>
    <x:row r="12" ht="32" customHeight="1">
      <x:c r="A12" s="9" t="str">
        <x:v>评审覆盖率</x:v>
      </x:c>
      <x:c r="B12" s="23" t="str">
        <x:f>IF(B11=0,"无完成任务",B10/B11)</x:f>
        <x:v>无完成任务</x:v>
      </x:c>
      <x:c r="C12" s="23" t="str">
        <x:f>IF(C11=0,"无完成任务",C10/C11)</x:f>
        <x:v>无完成任务</x:v>
      </x:c>
      <x:c r="D12" s="9" t="str">
        <x:v>全部图片评完任务 / 视觉生成完成任务。</x:v>
      </x:c>
    </x:row>
    <x:row r="13" ht="32" customHeight="1">
      <x:c r="A13" s="10" t="str">
        <x:v>已评差异的完成组数</x:v>
      </x:c>
      <x:c r="B13" s="20" t="n">
        <x:f>COUNTIFS('运行记录'!$C$5:$C$44,"A",'运行记录'!$O$5:$O$44,1,'运行记录'!$P$5:$P$44,"有可采用",'运行记录'!$Q$5:$Q$44,"合格")+COUNTIFS('运行记录'!$C$5:$C$44,"A",'运行记录'!$O$5:$O$44,1,'运行记录'!$P$5:$P$44,"有可采用",'运行记录'!$Q$5:$Q$44,"不合格")+COUNTIFS('运行记录'!$C$5:$C$44,"A",'运行记录'!$O$5:$O$44,1,'运行记录'!$P$5:$P$44,"无可采用",'运行记录'!$Q$5:$Q$44,"合格")+COUNTIFS('运行记录'!$C$5:$C$44,"A",'运行记录'!$O$5:$O$44,1,'运行记录'!$P$5:$P$44,"无可采用",'运行记录'!$Q$5:$Q$44,"不合格")</x:f>
        <x:v>0</x:v>
      </x:c>
      <x:c r="C13" s="20" t="n">
        <x:f>COUNTIFS('运行记录'!$C$5:$C$44,"B",'运行记录'!$O$5:$O$44,1,'运行记录'!$P$5:$P$44,"有可采用",'运行记录'!$Q$5:$Q$44,"合格")+COUNTIFS('运行记录'!$C$5:$C$44,"B",'运行记录'!$O$5:$O$44,1,'运行记录'!$P$5:$P$44,"有可采用",'运行记录'!$Q$5:$Q$44,"不合格")+COUNTIFS('运行记录'!$C$5:$C$44,"B",'运行记录'!$O$5:$O$44,1,'运行记录'!$P$5:$P$44,"无可采用",'运行记录'!$Q$5:$Q$44,"合格")+COUNTIFS('运行记录'!$C$5:$C$44,"B",'运行记录'!$O$5:$O$44,1,'运行记录'!$P$5:$P$44,"无可采用",'运行记录'!$Q$5:$Q$44,"不合格")</x:f>
        <x:v>0</x:v>
      </x:c>
      <x:c r="D13" s="10" t="str">
        <x:v>至少两张图、全部评完后填写组内差异。</x:v>
      </x:c>
    </x:row>
    <x:row r="14" ht="32" customHeight="1">
      <x:c r="A14" s="9" t="str">
        <x:v>组内差异达标率</x:v>
      </x:c>
      <x:c r="B14" s="23" t="str">
        <x:f>IF(B13=0,"待评差异",(COUNTIFS('运行记录'!$C$5:$C$44,"A",'运行记录'!$O$5:$O$44,1,'运行记录'!$P$5:$P$44,"有可采用",'运行记录'!$Q$5:$Q$44,"合格")+COUNTIFS('运行记录'!$C$5:$C$44,"A",'运行记录'!$O$5:$O$44,1,'运行记录'!$P$5:$P$44,"无可采用",'运行记录'!$Q$5:$Q$44,"合格"))/B13)</x:f>
        <x:v>待评差异</x:v>
      </x:c>
      <x:c r="C14" s="23" t="str">
        <x:f>IF(C13=0,"待评差异",(COUNTIFS('运行记录'!$C$5:$C$44,"B",'运行记录'!$O$5:$O$44,1,'运行记录'!$P$5:$P$44,"有可采用",'运行记录'!$Q$5:$Q$44,"合格")+COUNTIFS('运行记录'!$C$5:$C$44,"B",'运行记录'!$O$5:$O$44,1,'运行记录'!$P$5:$P$44,"无可采用",'运行记录'!$Q$5:$Q$44,"合格"))/C13)</x:f>
        <x:v>待评差异</x:v>
      </x:c>
      <x:c r="D14" s="9" t="str">
        <x:v>分母为已评差异的完成组；需连同覆盖组数展示。</x:v>
      </x:c>
    </x:row>
    <x:row r="15" ht="32" customHeight="1">
      <x:c r="A15" s="10" t="str">
        <x:v>工程演练完成数</x:v>
      </x:c>
      <x:c r="B15" s="20" t="n">
        <x:f>COUNTIFS('运行记录'!$C$5:$C$44,"A",'运行记录'!$D$5:$D$44,"链路",'运行记录'!$P$5:$P$44,"链路合格")+COUNTIFS('运行记录'!$C$5:$C$44,"A",'运行记录'!$D$5:$D$44,"链路",'运行记录'!$P$5:$P$44,"链路不合格")</x:f>
        <x:v>0</x:v>
      </x:c>
      <x:c r="C15" s="20" t="n">
        <x:f>COUNTIFS('运行记录'!$C$5:$C$44,"B",'运行记录'!$D$5:$D$44,"链路",'运行记录'!$P$5:$P$44,"链路合格")+COUNTIFS('运行记录'!$C$5:$C$44,"B",'运行记录'!$D$5:$D$44,"链路",'运行记录'!$P$5:$P$44,"链路不合格")</x:f>
        <x:v>0</x:v>
      </x:c>
      <x:c r="D15" s="10" t="str">
        <x:v>链路用例，真实与模拟均计演练数，不进入视觉采用率。</x:v>
      </x:c>
    </x:row>
    <x:row r="18" ht="40" customHeight="1">
      <x:c r="A18" s="30" t="str">
        <x:v>验收子集 C05–C08</x:v>
      </x:c>
      <x:c r="B18" s="30" t="str">
        <x:v>A 当前基线</x:v>
      </x:c>
      <x:c r="C18" s="30" t="str">
        <x:v>B 改进版本</x:v>
      </x:c>
      <x:c r="D18" s="30" t="str">
        <x:v>与调试用例分开；同输入、同模型、同张数、冻结首轮。</x:v>
      </x:c>
    </x:row>
    <x:row r="19" ht="38" customHeight="1">
      <x:c r="A19" s="31" t="str">
        <x:v>验收已执行任务</x:v>
      </x:c>
      <x:c r="B19" s="31" t="n">
        <x:f>'运行记录'!O9+'运行记录'!O10+'运行记录'!O11+'运行记录'!O12</x:f>
        <x:v>0</x:v>
      </x:c>
      <x:c r="C19" s="31" t="n">
        <x:f>'运行记录'!O29+'运行记录'!O30+'运行记录'!O31+'运行记录'!O32</x:f>
        <x:v>0</x:v>
      </x:c>
      <x:c r="D19" s="33"/>
    </x:row>
    <x:row r="20" ht="38" customHeight="1">
      <x:c r="A20" s="31" t="str">
        <x:v>验收有可采用任务</x:v>
      </x:c>
      <x:c r="B20" s="31" t="n">
        <x:f>IF(AND('运行记录'!O9=1,'运行记录'!P9="有可采用"),1,0)+IF(AND('运行记录'!O10=1,'运行记录'!P10="有可采用"),1,0)+IF(AND('运行记录'!O11=1,'运行记录'!P11="有可采用"),1,0)+IF(AND('运行记录'!O12=1,'运行记录'!P12="有可采用"),1,0)</x:f>
        <x:v>0</x:v>
      </x:c>
      <x:c r="C20" s="31" t="n">
        <x:f>IF(AND('运行记录'!O29=1,'运行记录'!P29="有可采用"),1,0)+IF(AND('运行记录'!O30=1,'运行记录'!P30="有可采用"),1,0)+IF(AND('运行记录'!O31=1,'运行记录'!P31="有可采用"),1,0)+IF(AND('运行记录'!O32=1,'运行记录'!P32="有可采用"),1,0)</x:f>
        <x:v>0</x:v>
      </x:c>
      <x:c r="D20" s="33"/>
    </x:row>
    <x:row r="21" ht="38" customHeight="1">
      <x:c r="A21" s="31" t="str">
        <x:v>验收首轮采用率</x:v>
      </x:c>
      <x:c r="B21" s="32" t="str">
        <x:f>IF(B19&lt;4,"验收未跑齐",IF((IF(AND('运行记录'!O9=1,'运行记录'!P9&lt;&gt;"有可采用",'运行记录'!P9&lt;&gt;"无可采用",'运行记录'!P9&lt;&gt;"失败"),1,0)+IF(AND('运行记录'!O10=1,'运行记录'!P10&lt;&gt;"有可采用",'运行记录'!P10&lt;&gt;"无可采用",'运行记录'!P10&lt;&gt;"失败"),1,0)+IF(AND('运行记录'!O11=1,'运行记录'!P11&lt;&gt;"有可采用",'运行记录'!P11&lt;&gt;"无可采用",'运行记录'!P11&lt;&gt;"失败"),1,0)+IF(AND('运行记录'!O12=1,'运行记录'!P12&lt;&gt;"有可采用",'运行记录'!P12&lt;&gt;"无可采用",'运行记录'!P12&lt;&gt;"失败"),1,0))&gt;0,"待补评审",B20/B19))</x:f>
        <x:v>验收未跑齐</x:v>
      </x:c>
      <x:c r="C21" s="32" t="str">
        <x:f>IF(C19&lt;4,"验收未跑齐",IF((IF(AND('运行记录'!O29=1,'运行记录'!P29&lt;&gt;"有可采用",'运行记录'!P29&lt;&gt;"无可采用",'运行记录'!P29&lt;&gt;"失败"),1,0)+IF(AND('运行记录'!O30=1,'运行记录'!P30&lt;&gt;"有可采用",'运行记录'!P30&lt;&gt;"无可采用",'运行记录'!P30&lt;&gt;"失败"),1,0)+IF(AND('运行记录'!O31=1,'运行记录'!P31&lt;&gt;"有可采用",'运行记录'!P31&lt;&gt;"无可采用",'运行记录'!P31&lt;&gt;"失败"),1,0)+IF(AND('运行记录'!O32=1,'运行记录'!P32&lt;&gt;"有可采用",'运行记录'!P32&lt;&gt;"无可采用",'运行记录'!P32&lt;&gt;"失败"),1,0))&gt;0,"待补评审",C20/C19))</x:f>
        <x:v>验收未跑齐</x:v>
      </x:c>
      <x:c r="D21" s="33" t="str">
        <x:v>只有 4 个验收案例。仅作探索验证，不宣称线上提升或统计显著。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130000114440918" hidden="0" customWidth="1"/>
    <x:col min="2" max="2" width="10.630000114440918" hidden="0" customWidth="1"/>
    <x:col min="3" max="3" width="22.5" hidden="0" customWidth="1"/>
    <x:col min="4" max="4" width="41.880001068115234" hidden="0" customWidth="1"/>
    <x:col min="5" max="5" width="26.25" hidden="0" customWidth="1"/>
    <x:col min="6" max="6" width="41.25" hidden="0" customWidth="1"/>
    <x:col min="7" max="7" width="33.130001068115234" hidden="0" customWidth="1"/>
    <x:col min="8" max="8" width="27.5" hidden="0" customWidth="1"/>
  </x:cols>
  <x:sheetData>
    <x:row r="1" ht="12" customHeight="1">
      <x:c r="A1" s="2"/>
      <x:c r="B1" s="2"/>
      <x:c r="C1" s="2"/>
      <x:c r="D1" s="2"/>
      <x:c r="E1" s="2"/>
      <x:c r="F1" s="2"/>
      <x:c r="G1" s="2"/>
      <x:c r="H1" s="2"/>
    </x:row>
    <x:row r="2" ht="30" customHeight="1">
      <x:c r="A2" s="3" t="str">
        <x:v>指标口径</x:v>
      </x:c>
      <x:c r="B2" s="2"/>
      <x:c r="C2" s="2"/>
      <x:c r="D2" s="2"/>
      <x:c r="E2" s="2"/>
      <x:c r="F2" s="2"/>
      <x:c r="G2" s="2"/>
      <x:c r="H2" s="2"/>
    </x:row>
    <x:row r="3" ht="32" customHeight="1">
      <x:c r="A3" s="4" t="str">
        <x:v>本轮以离线首轮可采用任务率验证价值，产品成熟后再看真实周采用任务数。</x:v>
      </x:c>
      <x:c r="B3" s="2"/>
      <x:c r="C3" s="2"/>
      <x:c r="D3" s="2"/>
      <x:c r="E3" s="2"/>
      <x:c r="F3" s="2"/>
      <x:c r="G3" s="2"/>
      <x:c r="H3" s="2"/>
    </x:row>
    <x:row r="4" ht="34" customHeight="1">
      <x:c r="A4" s="8" t="str">
        <x:v>编号</x:v>
      </x:c>
      <x:c r="B4" s="8" t="str">
        <x:v>层级</x:v>
      </x:c>
      <x:c r="C4" s="8" t="str">
        <x:v>指标</x:v>
      </x:c>
      <x:c r="D4" s="8" t="str">
        <x:v>计算口径</x:v>
      </x:c>
      <x:c r="E4" s="8" t="str">
        <x:v>数据来源</x:v>
      </x:c>
      <x:c r="F4" s="8" t="str">
        <x:v>去重与边界</x:v>
      </x:c>
      <x:c r="G4" s="8" t="str">
        <x:v>当前实现情况</x:v>
      </x:c>
      <x:c r="H4" s="8" t="str">
        <x:v>本轮处理</x:v>
      </x:c>
    </x:row>
    <x:row r="5" ht="65" customHeight="1">
      <x:c r="A5" s="10" t="str">
        <x:v>M01</x:v>
      </x:c>
      <x:c r="B5" s="10" t="str">
        <x:v>北极星</x:v>
      </x:c>
      <x:c r="C5" s="10" t="str">
        <x:v>每周获得采用的创意任务数</x:v>
      </x:c>
      <x:c r="D5" s="10" t="str">
        <x:v>按北京时间自然周，周内首次出现有效采用的 task_id 去重数。有效采用须关联已保存的具体 asset_id 与版本。一个任务只计一次，重试不新建任务。</x:v>
      </x:c>
      <x:c r="E5" s="10" t="str">
        <x:v>asset_feedback_saved + asset_persisted</x:v>
      </x:c>
      <x:c r="F5" s="10" t="str">
        <x:v>排除开发、演示、模拟。取消采用保留历史，另报期末仍采用数；不得用最近 60 条代替一周全量。</x:v>
      </x:c>
      <x:c r="G5" s="10" t="str">
        <x:v>当前仅组级最新反馈，缺稳定 task_id 与历史事件。</x:v>
      </x:c>
      <x:c r="H5" s="10" t="str">
        <x:v>规划指标，尚无真实周数据</x:v>
      </x:c>
    </x:row>
    <x:row r="6" ht="65" customHeight="1">
      <x:c r="A6" s="9" t="str">
        <x:v>M02</x:v>
      </x:c>
      <x:c r="B6" s="9" t="str">
        <x:v>当前核心</x:v>
      </x:c>
      <x:c r="C6" s="9" t="str">
        <x:v>首轮可采用任务率</x:v>
      </x:c>
      <x:c r="D6" s="9" t="str">
        <x:v>首轮评完且至少一张可采用的视觉任务 / 全部有效已执行视觉任务。模型或保存失败计分母、计不采用；未评任务单列，未评清零后才发布最终比率。</x:v>
      </x:c>
      <x:c r="E6" s="9" t="str">
        <x:v>真实首轮运行 + 图片评分</x:v>
      </x:c>
      <x:c r="F6" s="9" t="str">
        <x:v>每个 case × 版本只收首轮。调试集与验收集分报；模拟不进入。下载不等于采用。</x:v>
      </x:c>
      <x:c r="G6" s="9" t="str">
        <x:v>可先离线人工评测；线上需逐图反馈与任务标识。</x:v>
      </x:c>
      <x:c r="H6" s="9" t="str">
        <x:v>本轮先建立基线，不预填提升幅度</x:v>
      </x:c>
    </x:row>
    <x:row r="7" ht="65" customHeight="1">
      <x:c r="A7" s="10" t="str">
        <x:v>M03</x:v>
      </x:c>
      <x:c r="B7" s="10" t="str">
        <x:v>稳定性</x:v>
      </x:c>
      <x:c r="C7" s="10" t="str">
        <x:v>端到端可交付成功率</x:v>
      </x:c>
      <x:c r="D7" s="10" t="str">
        <x:v>生成请求受理后，在预定测试窗口内按要求保存全部候选并能读取的任务 / 全部受理任务。验收窗口暂定 10 分钟，运行前冻结。</x:v>
      </x:c>
      <x:c r="E7" s="10" t="str">
        <x:v>generation_accepted → asset_persisted + result_viewed</x:v>
      </x:c>
      <x:c r="F7" s="10" t="str">
        <x:v>接口返回 URL 不等于交付。超时按失败记录，晚到结果另标；部分交付单列。</x:v>
      </x:c>
      <x:c r="G7" s="10" t="str">
        <x:v>已有 job 时间、状态及合成图记录；待补可读取与展示事件。</x:v>
      </x:c>
      <x:c r="H7" s="10" t="str">
        <x:v>窗口为本轮测试约定</x:v>
      </x:c>
    </x:row>
    <x:row r="8" ht="65" customHeight="1">
      <x:c r="A8" s="9" t="str">
        <x:v>M04</x:v>
      </x:c>
      <x:c r="B8" s="9" t="str">
        <x:v>准确性护栏</x:v>
      </x:c>
      <x:c r="C8" s="9" t="str">
        <x:v>商品事实错误率</x:v>
      </x:c>
      <x:c r="D8" s="9" t="str">
        <x:v>人工确认商品外观、规格或数量出错的图片 / 完成人工事实检查的图片。配合事实检查覆盖率。</x:v>
      </x:c>
      <x:c r="E8" s="9" t="str">
        <x:v>图片级人工评分 + 输入商品事实</x:v>
      </x:c>
      <x:c r="F8" s="9" t="str">
        <x:v>颜色、Logo、外形、组合数量、未经证实的功效均检查。抠图缺损属于失败。</x:v>
      </x:c>
      <x:c r="G8" s="9" t="str">
        <x:v>现有拒绝原因为组级，不能作逐图错误率。</x:v>
      </x:c>
      <x:c r="H8" s="9" t="str">
        <x:v>零容忍作为采用门槛，不伪造零错误</x:v>
      </x:c>
    </x:row>
    <x:row r="9" ht="65" customHeight="1">
      <x:c r="A9" s="10" t="str">
        <x:v>M05</x:v>
      </x:c>
      <x:c r="B9" s="10" t="str">
        <x:v>差异性</x:v>
      </x:c>
      <x:c r="C9" s="10" t="str">
        <x:v>组内视觉差异达标率</x:v>
      </x:c>
      <x:c r="D9" s="10" t="str">
        <x:v>至少两张可读取图片，且背景场景、构图、配色、信息层级中至少两项有实质差异的组 / 已完成人工差异评审的组。</x:v>
      </x:c>
      <x:c r="E9" s="10" t="str">
        <x:v>group_diversity_reviewed</x:v>
      </x:c>
      <x:c r="F9" s="10" t="str">
        <x:v>只换随机种子、颜色轻微改变或左右位移不足以通过；同步报差异评审覆盖率。</x:v>
      </x:c>
      <x:c r="G9" s="10" t="str">
        <x:v>当前同一背景加两套位置，可能不达标，须看结果。</x:v>
      </x:c>
      <x:c r="H9" s="10" t="str">
        <x:v>暂定人工标准，老师可复核</x:v>
      </x:c>
    </x:row>
    <x:row r="10" ht="65" customHeight="1">
      <x:c r="A10" s="9" t="str">
        <x:v>M06</x:v>
      </x:c>
      <x:c r="B10" s="9" t="str">
        <x:v>效率</x:v>
      </x:c>
      <x:c r="C10" s="9" t="str">
        <x:v>首次可用结果耗时</x:v>
      </x:c>
      <x:c r="D10" s="9" t="str">
        <x:v>从服务端受理到客户端首次确认可读取结果的秒数，报告 P50/P90、有效计时样本数及成功率。</x:v>
      </x:c>
      <x:c r="E10" s="9" t="str">
        <x:v>generation_accepted → result_viewed</x:v>
      </x:c>
      <x:c r="F10" s="9" t="str">
        <x:v>仅成功样本算耗时分位数；失败不能消失，旁列失败率。缺前端时间不能冒充端到端。</x:v>
      </x:c>
      <x:c r="G10" s="9" t="str">
        <x:v>startedAt/finishedAt 只覆盖服务端阶段。</x:v>
      </x:c>
      <x:c r="H10" s="9" t="str">
        <x:v>工作簿可记录秒数，样本不足先看逐条</x:v>
      </x:c>
    </x:row>
    <x:row r="11" ht="65" customHeight="1">
      <x:c r="A11" s="10" t="str">
        <x:v>M07</x:v>
      </x:c>
      <x:c r="B11" s="10" t="str">
        <x:v>成本</x:v>
      </x:c>
      <x:c r="C11" s="10" t="str">
        <x:v>每个采用任务成本</x:v>
      </x:c>
      <x:c r="D11" s="10" t="str">
        <x:v>同一任务批次的全部调用、重试、失败及存储成本 / 该批次获得采用的去重任务数。分母为 0 时无可用单位成本。</x:v>
      </x:c>
      <x:c r="E11" s="10" t="str">
        <x:v>provider usage / 账单 + task_id</x:v>
      </x:c>
      <x:c r="F11" s="10" t="str">
        <x:v>实际账单与估算分开；token 数、积分不直接当人民币；计费未知留空。</x:v>
      </x:c>
      <x:c r="G11" s="10" t="str">
        <x:v>usageJson 可作为线索；缺调用价格快照与失败账单。</x:v>
      </x:c>
      <x:c r="H11" s="10" t="str">
        <x:v>本轮预算未设定，不批量触发付费调用</x:v>
      </x:c>
    </x:row>
    <x:row r="12" ht="65" customHeight="1">
      <x:c r="A12" s="9" t="str">
        <x:v>M08</x:v>
      </x:c>
      <x:c r="B12" s="9" t="str">
        <x:v>行为代理</x:v>
      </x:c>
      <x:c r="C12" s="9" t="str">
        <x:v>导出请求转化率</x:v>
      </x:c>
      <x:c r="D12" s="9" t="str">
        <x:v>至少一次请求导出的已展示任务 / 已展示任务，按 task_id 去重。</x:v>
      </x:c>
      <x:c r="E12" s="9" t="str">
        <x:v>result_viewed → export_requested</x:v>
      </x:c>
      <x:c r="F12" s="9" t="str">
        <x:v>只能说导出请求。浏览器无法可靠证明文件写入磁盘，更不能证明素材已投放。</x:v>
      </x:c>
      <x:c r="G12" s="9" t="str">
        <x:v>已有 quick_export_requested 记录，缺展示事件与稳定 task_id。</x:v>
      </x:c>
      <x:c r="H12" s="9" t="str">
        <x:v>不可当成北极星或真实投放转化</x:v>
      </x:c>
    </x:row>
    <x:row r="13" ht="65" customHeight="1">
      <x:c r="A13" s="10" t="str">
        <x:v>M09</x:v>
      </x:c>
      <x:c r="B13" s="10" t="str">
        <x:v>数据质量</x:v>
      </x:c>
      <x:c r="C13" s="10" t="str">
        <x:v>人工评审覆盖率</x:v>
      </x:c>
      <x:c r="D13" s="10" t="str">
        <x:v>完成全部所需图片评审的可交付视觉任务 / 已可交付视觉任务；工程失败另列。</x:v>
      </x:c>
      <x:c r="E13" s="10" t="str">
        <x:v>图片评分 + generation_job</x:v>
      </x:c>
      <x:c r="F13" s="10" t="str">
        <x:v>待评与拒绝区分；统计采用率时同时给样本数与覆盖率。</x:v>
      </x:c>
      <x:c r="G13" s="10" t="str">
        <x:v>可先通过工作簿计算。</x:v>
      </x:c>
      <x:c r="H13" s="10" t="str">
        <x:v>避免只评价好看的结果</x:v>
      </x:c>
    </x:row>
    <x:row r="14" ht="65" customHeight="1">
      <x:c r="A14" s="9" t="str">
        <x:v>M10</x:v>
      </x:c>
      <x:c r="B14" s="9" t="str">
        <x:v>业务价值验证</x:v>
      </x:c>
      <x:c r="C14" s="9" t="str">
        <x:v>设计任务节省时长</x:v>
      </x:c>
      <x:c r="D14" s="9" t="str">
        <x:v>同一设计者、同类任务、相同交付要求下，人工完成时间与 AI 辅助完成时间的差值。AI 时间含等待、重试与修改。</x:v>
      </x:c>
      <x:c r="E14" s="9" t="str">
        <x:v>人工计时记录 + 固定任务说明</x:v>
      </x:c>
      <x:c r="F14" s="9" t="str">
        <x:v>不把模型响应时间当全部设计工时；需任务难度与样稿数一致。</x:v>
      </x:c>
      <x:c r="G14" s="9" t="str">
        <x:v>当前缺对照实验；暂不承诺提效百分比或广告 ROI。</x:v>
      </x:c>
      <x:c r="H14" s="9" t="str">
        <x:v>有时间再做一组人工对照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7.5" hidden="0" customWidth="1"/>
    <x:col min="2" max="2" width="29.3799991607666" hidden="0" customWidth="1"/>
    <x:col min="3" max="3" width="33.75" hidden="0" customWidth="1"/>
    <x:col min="4" max="4" width="36.25" hidden="0" customWidth="1"/>
    <x:col min="5" max="5" width="31.25" hidden="0" customWidth="1"/>
    <x:col min="6" max="6" width="26.25" hidden="0" customWidth="1"/>
    <x:col min="7" max="7" width="25.6299991607666" hidden="0" customWidth="1"/>
    <x:col min="8" max="8" width="33.75" hidden="0" customWidth="1"/>
  </x:cols>
  <x:sheetData>
    <x:row r="1" ht="12" customHeight="1">
      <x:c r="A1" s="2"/>
      <x:c r="B1" s="2"/>
      <x:c r="C1" s="2"/>
      <x:c r="D1" s="2"/>
      <x:c r="E1" s="2"/>
      <x:c r="F1" s="2"/>
      <x:c r="G1" s="2"/>
      <x:c r="H1" s="2"/>
    </x:row>
    <x:row r="2" ht="30" customHeight="1">
      <x:c r="A2" s="3" t="str">
        <x:v>事件设计与字段约定</x:v>
      </x:c>
      <x:c r="B2" s="2"/>
      <x:c r="C2" s="2"/>
      <x:c r="D2" s="2"/>
      <x:c r="E2" s="2"/>
      <x:c r="F2" s="2"/>
      <x:c r="G2" s="2"/>
      <x:c r="H2" s="2"/>
    </x:row>
    <x:row r="3" ht="32" customHeight="1">
      <x:c r="A3" s="4" t="str">
        <x:v>P0 是本轮优先补齐项；此表为设计，未自动修改产品代码。</x:v>
      </x:c>
      <x:c r="B3" s="2"/>
      <x:c r="C3" s="2"/>
      <x:c r="D3" s="2"/>
      <x:c r="E3" s="2"/>
      <x:c r="F3" s="2"/>
      <x:c r="G3" s="2"/>
      <x:c r="H3" s="2"/>
    </x:row>
    <x:row r="4" ht="34" customHeight="1">
      <x:c r="A4" s="8" t="str">
        <x:v>编号</x:v>
      </x:c>
      <x:c r="B4" s="8" t="str">
        <x:v>事件名</x:v>
      </x:c>
      <x:c r="C4" s="8" t="str">
        <x:v>触发时机与采集端</x:v>
      </x:c>
      <x:c r="D4" s="8" t="str">
        <x:v>事件专有字段</x:v>
      </x:c>
      <x:c r="E4" s="8" t="str">
        <x:v>去重规则</x:v>
      </x:c>
      <x:c r="F4" s="8" t="str">
        <x:v>用于解释的问题</x:v>
      </x:c>
      <x:c r="G4" s="8" t="str">
        <x:v>实现状态</x:v>
      </x:c>
      <x:c r="H4" s="8" t="str">
        <x:v>记录边界</x:v>
      </x:c>
    </x:row>
    <x:row r="5" ht="64" customHeight="1">
      <x:c r="A5" s="10" t="str">
        <x:v>E01</x:v>
      </x:c>
      <x:c r="B5" s="10" t="str">
        <x:v>product_input_ready</x:v>
      </x:c>
      <x:c r="C5" s="10" t="str">
        <x:v>客户端，商品图上传并取得可用引用后</x:v>
      </x:c>
      <x:c r="D5" s="10" t="str">
        <x:v>image_hash、input_revision、width、height、upload_source</x:v>
      </x:c>
      <x:c r="E5" s="10" t="str">
        <x:v>一次输入版本一次；重复刷新不重复</x:v>
      </x:c>
      <x:c r="F5" s="10" t="str">
        <x:v>输入到生成转化、输入失败排查</x:v>
      </x:c>
      <x:c r="G5" s="10" t="str">
        <x:v>P0 新增</x:v>
      </x:c>
      <x:c r="H5" s="10" t="str">
        <x:v>不上传图片 base64 到分析日志</x:v>
      </x:c>
    </x:row>
    <x:row r="6" ht="64" customHeight="1">
      <x:c r="A6" s="9" t="str">
        <x:v>E02</x:v>
      </x:c>
      <x:c r="B6" s="9" t="str">
        <x:v>cutout_completed</x:v>
      </x:c>
      <x:c r="C6" s="9" t="str">
        <x:v>客户端抠图结束；失败也记录</x:v>
      </x:c>
      <x:c r="D6" s="9" t="str">
        <x:v>cutout_model_version、duration_ms、outcome、error_code</x:v>
      </x:c>
      <x:c r="E6" s="9" t="str">
        <x:v>同一输入版本与抠图 attempt 去重</x:v>
      </x:c>
      <x:c r="F6" s="9" t="str">
        <x:v>切分抠图与生成质量问题</x:v>
      </x:c>
      <x:c r="G6" s="9" t="str">
        <x:v>P0 新增</x:v>
      </x:c>
      <x:c r="H6" s="9" t="str">
        <x:v>保留输入与输出引用，用户选回原图另记状态</x:v>
      </x:c>
    </x:row>
    <x:row r="7" ht="64" customHeight="1">
      <x:c r="A7" s="10" t="str">
        <x:v>E03</x:v>
      </x:c>
      <x:c r="B7" s="10" t="str">
        <x:v>generation_accepted</x:v>
      </x:c>
      <x:c r="C7" s="10" t="str">
        <x:v>服务端通过校验、建立 job 后</x:v>
      </x:c>
      <x:c r="D7" s="10" t="str">
        <x:v>task_id、job_id、workflow_version、options_snapshot、requested_count</x:v>
      </x:c>
      <x:c r="E7" s="10" t="str">
        <x:v>幂等键唯一；重试同 task、新 job</x:v>
      </x:c>
      <x:c r="F7" s="10" t="str">
        <x:v>受理分母、首轮识别</x:v>
      </x:c>
      <x:c r="G7" s="10" t="str">
        <x:v>P0 复用并补字段</x:v>
      </x:c>
      <x:c r="H7" s="10" t="str">
        <x:v>校验拦截记录 rejected，不能计为已受理</x:v>
      </x:c>
    </x:row>
    <x:row r="8" ht="64" customHeight="1">
      <x:c r="A8" s="9" t="str">
        <x:v>E04</x:v>
      </x:c>
      <x:c r="B8" s="9" t="str">
        <x:v>creative_plan_completed</x:v>
      </x:c>
      <x:c r="C8" s="9" t="str">
        <x:v>服务端结构化策略校验完成或失败</x:v>
      </x:c>
      <x:c r="D8" s="9" t="str">
        <x:v>span_id、parent_span_id、prompt_version、strategy_ids、model、schema_valid</x:v>
      </x:c>
      <x:c r="E8" s="9" t="str">
        <x:v>一个规划调用一个 span；回退单列</x:v>
      </x:c>
      <x:c r="F8" s="9" t="str">
        <x:v>无方案、过度通用、策略重复</x:v>
      </x:c>
      <x:c r="G8" s="9" t="str">
        <x:v>P0 新增阶段记录</x:v>
      </x:c>
      <x:c r="H8" s="9" t="str">
        <x:v>记录 fallback_reason，不把回退当正常模型方案</x:v>
      </x:c>
    </x:row>
    <x:row r="9" ht="64" customHeight="1">
      <x:c r="A9" s="10" t="str">
        <x:v>E05</x:v>
      </x:c>
      <x:c r="B9" s="10" t="str">
        <x:v>image_generation_completed</x:v>
      </x:c>
      <x:c r="C9" s="10" t="str">
        <x:v>服务端得到模型结果或明确失败</x:v>
      </x:c>
      <x:c r="D9" s="10" t="str">
        <x:v>concept_id、provider_request_id、model、latency_ms、usage、error_code</x:v>
      </x:c>
      <x:c r="E9" s="10" t="str">
        <x:v>按生成 span 去重；重试保存父链路</x:v>
      </x:c>
      <x:c r="F9" s="10" t="str">
        <x:v>模型效果、耗时和费用归因</x:v>
      </x:c>
      <x:c r="G9" s="10" t="str">
        <x:v>P0 新增阶段记录</x:v>
      </x:c>
      <x:c r="H9" s="10" t="str">
        <x:v>输出 URL 尚不代表保存与交付成功</x:v>
      </x:c>
    </x:row>
    <x:row r="10" ht="64" customHeight="1">
      <x:c r="A10" s="9" t="str">
        <x:v>E06</x:v>
      </x:c>
      <x:c r="B10" s="9" t="str">
        <x:v>asset_persisted</x:v>
      </x:c>
      <x:c r="C10" s="9" t="str">
        <x:v>文件保存并可读取后由服务端记录</x:v>
      </x:c>
      <x:c r="D10" s="9" t="str">
        <x:v>asset_id、asset_version、concept_id、storage_ref、dimensions、checksum</x:v>
      </x:c>
      <x:c r="E10" s="9" t="str">
        <x:v>同 asset_id + version 仅一次成功</x:v>
      </x:c>
      <x:c r="F10" s="9" t="str">
        <x:v>真正生成交付数量与保存失败</x:v>
      </x:c>
      <x:c r="G10" s="9" t="str">
        <x:v>P0 新增逐图记录</x:v>
      </x:c>
      <x:c r="H10" s="9" t="str">
        <x:v>保存失败独立错误码，恢复保存不能再次调用生图</x:v>
      </x:c>
    </x:row>
    <x:row r="11" ht="64" customHeight="1">
      <x:c r="A11" s="10" t="str">
        <x:v>E07</x:v>
      </x:c>
      <x:c r="B11" s="10" t="str">
        <x:v>result_viewed</x:v>
      </x:c>
      <x:c r="C11" s="10" t="str">
        <x:v>客户端图片 load 成功且进入可见结果区</x:v>
      </x:c>
      <x:c r="D11" s="10" t="str">
        <x:v>asset_id、asset_version、job_id、display_ms</x:v>
      </x:c>
      <x:c r="E11" s="10" t="str">
        <x:v>一次会话同资产版本只记一次</x:v>
      </x:c>
      <x:c r="F11" s="10" t="str">
        <x:v>用户看到结果、端到端时间</x:v>
      </x:c>
      <x:c r="G11" s="10" t="str">
        <x:v>P0 新增</x:v>
      </x:c>
      <x:c r="H11" s="10" t="str">
        <x:v>预加载/接口响应不算看见；离开页面导致缺失单列</x:v>
      </x:c>
    </x:row>
    <x:row r="12" ht="64" customHeight="1">
      <x:c r="A12" s="9" t="str">
        <x:v>E08</x:v>
      </x:c>
      <x:c r="B12" s="9" t="str">
        <x:v>asset_feedback_saved</x:v>
      </x:c>
      <x:c r="C12" s="9" t="str">
        <x:v>服务端成功保存采用/拒绝/撤销反馈</x:v>
      </x:c>
      <x:c r="D12" s="9" t="str">
        <x:v>asset_id、asset_version、feedback、reason_code、edit_level</x:v>
      </x:c>
      <x:c r="E12" s="9" t="str">
        <x:v>每次操作 event_id 去重，保留变化历史</x:v>
      </x:c>
      <x:c r="F12" s="9" t="str">
        <x:v>采用任务数、质量问题占比</x:v>
      </x:c>
      <x:c r="G12" s="9" t="str">
        <x:v>P0 改组级为逐图</x:v>
      </x:c>
      <x:c r="H12" s="9" t="str">
        <x:v>已有接口只存整组最新反馈，当前不等价</x:v>
      </x:c>
    </x:row>
    <x:row r="13" ht="64" customHeight="1">
      <x:c r="A13" s="10" t="str">
        <x:v>E09</x:v>
      </x:c>
      <x:c r="B13" s="10" t="str">
        <x:v>export_requested</x:v>
      </x:c>
      <x:c r="C13" s="10" t="str">
        <x:v>服务端接受单张或组导出请求</x:v>
      </x:c>
      <x:c r="D13" s="10" t="str">
        <x:v>job_id、asset_id、asset_version、output_index、export_format</x:v>
      </x:c>
      <x:c r="E13" s="10" t="str">
        <x:v>event_id 去重，分析按任务去重</x:v>
      </x:c>
      <x:c r="F13" s="10" t="str">
        <x:v>导出请求率</x:v>
      </x:c>
      <x:c r="G13" s="10" t="str">
        <x:v>P0 已有部分</x:v>
      </x:c>
      <x:c r="H13" s="10" t="str">
        <x:v>已有 quick_export_requested。不得命名 download_success</x:v>
      </x:c>
    </x:row>
    <x:row r="14" ht="64" customHeight="1">
      <x:c r="A14" s="9" t="str">
        <x:v>E10</x:v>
      </x:c>
      <x:c r="B14" s="9" t="str">
        <x:v>generation_failed</x:v>
      </x:c>
      <x:c r="C14" s="9" t="str">
        <x:v>任意阶段不可恢复失败时，服务端收敛终态</x:v>
      </x:c>
      <x:c r="D14" s="9" t="str">
        <x:v>failed_stage、error_code、retryable、provider_request_id</x:v>
      </x:c>
      <x:c r="E14" s="9" t="str">
        <x:v>每 job 一次终态；阶段错误另外保留</x:v>
      </x:c>
      <x:c r="F14" s="9" t="str">
        <x:v>失败率、失败阶段占比</x:v>
      </x:c>
      <x:c r="G14" s="9" t="str">
        <x:v>P0 扩充现有 job 错误</x:v>
      </x:c>
      <x:c r="H14" s="9" t="str">
        <x:v>错误消息脱敏；不能把图片已生成写成生图失败</x:v>
      </x:c>
    </x:row>
    <x:row r="15" ht="64" customHeight="1">
      <x:c r="A15" s="10" t="str">
        <x:v>E11</x:v>
      </x:c>
      <x:c r="B15" s="10" t="str">
        <x:v>retry_requested</x:v>
      </x:c>
      <x:c r="C15" s="10" t="str">
        <x:v>用户明确重试并被服务端受理</x:v>
      </x:c>
      <x:c r="D15" s="10" t="str">
        <x:v>task_id、new_job_id、parent_job_id、resume_stage、reason</x:v>
      </x:c>
      <x:c r="E15" s="10" t="str">
        <x:v>新 attempt，不增加逻辑任务数量</x:v>
      </x:c>
      <x:c r="F15" s="10" t="str">
        <x:v>重试次数、重复计费风险</x:v>
      </x:c>
      <x:c r="G15" s="10" t="str">
        <x:v>P1 需补关联</x:v>
      </x:c>
      <x:c r="H15" s="10" t="str">
        <x:v>复用同一 brief 的重试；用户改商品/需求另建任务</x:v>
      </x:c>
    </x:row>
    <x:row r="16" ht="64" customHeight="1">
      <x:c r="A16" s="9" t="str">
        <x:v>E12</x:v>
      </x:c>
      <x:c r="B16" s="9" t="str">
        <x:v>group_diversity_reviewed</x:v>
      </x:c>
      <x:c r="C16" s="9" t="str">
        <x:v>人工对整组输出完成差异评审并保存</x:v>
      </x:c>
      <x:c r="D16" s="9" t="str">
        <x:v>job_id、evaluator、rubric_version、distinct_axes、verdict</x:v>
      </x:c>
      <x:c r="E16" s="9" t="str">
        <x:v>保留评审版本，报表使用冻结的有效评审</x:v>
      </x:c>
      <x:c r="F16" s="9" t="str">
        <x:v>组内视觉差异达标率</x:v>
      </x:c>
      <x:c r="G16" s="9" t="str">
        <x:v>本轮表格人工，后续产品化</x:v>
      </x:c>
      <x:c r="H16" s="9" t="str">
        <x:v>不要求 18 小时内做自动审美评审器</x:v>
      </x:c>
    </x:row>
    <x:row r="19" ht="30" customHeight="1">
      <x:c r="B19" s="14" t="str">
        <x:v>公共字段</x:v>
      </x:c>
      <x:c r="C19" s="14" t="str">
        <x:v>用途</x:v>
      </x:c>
      <x:c r="D19" s="14" t="str">
        <x:v>字段</x:v>
      </x:c>
      <x:c r="E19" s="14" t="str">
        <x:v>用途</x:v>
      </x:c>
      <x:c r="F19" s="14" t="str">
        <x:v>字段</x:v>
      </x:c>
      <x:c r="G19" s="14" t="str">
        <x:v>用途</x:v>
      </x:c>
    </x:row>
    <x:row r="20" ht="35" customHeight="1">
      <x:c r="B20" s="9" t="str">
        <x:v>event_id</x:v>
      </x:c>
      <x:c r="C20" s="9" t="str">
        <x:v>客户端/服务端重传去重</x:v>
      </x:c>
      <x:c r="D20" s="9" t="str">
        <x:v>occurred_at</x:v>
      </x:c>
      <x:c r="E20" s="9" t="str">
        <x:v>UTC 毫秒时间</x:v>
      </x:c>
      <x:c r="F20" s="9" t="str">
        <x:v>received_at</x:v>
      </x:c>
      <x:c r="G20" s="9" t="str">
        <x:v>服务端收件时间</x:v>
      </x:c>
    </x:row>
    <x:row r="21" ht="35" customHeight="1">
      <x:c r="B21" s="9" t="str">
        <x:v>environment</x:v>
      </x:c>
      <x:c r="C21" s="9" t="str">
        <x:v>prod / test / mock</x:v>
      </x:c>
      <x:c r="D21" s="9" t="str">
        <x:v>task_id</x:v>
      </x:c>
      <x:c r="E21" s="9" t="str">
        <x:v>一次商品+需求的逻辑任务</x:v>
      </x:c>
      <x:c r="F21" s="9" t="str">
        <x:v>job_id</x:v>
      </x:c>
      <x:c r="G21" s="9" t="str">
        <x:v>一次执行尝试</x:v>
      </x:c>
    </x:row>
    <x:row r="22" ht="35" customHeight="1">
      <x:c r="B22" s="9" t="str">
        <x:v>trace_id</x:v>
      </x:c>
      <x:c r="C22" s="9" t="str">
        <x:v>跨阶段串联，初期可等于 job_id</x:v>
      </x:c>
      <x:c r="D22" s="9" t="str">
        <x:v>span_id</x:v>
      </x:c>
      <x:c r="E22" s="9" t="str">
        <x:v>单个模型或处理步骤</x:v>
      </x:c>
      <x:c r="F22" s="9" t="str">
        <x:v>parent_span_id</x:v>
      </x:c>
      <x:c r="G22" s="9" t="str">
        <x:v>阶段依赖关系</x:v>
      </x:c>
    </x:row>
    <x:row r="23" ht="35" customHeight="1">
      <x:c r="B23" s="9" t="str">
        <x:v>asset_id/version</x:v>
      </x:c>
      <x:c r="C23" s="9" t="str">
        <x:v>具体图及修订版本</x:v>
      </x:c>
      <x:c r="D23" s="9" t="str">
        <x:v>input_revision</x:v>
      </x:c>
      <x:c r="E23" s="9" t="str">
        <x:v>输入图+选项的冻结版本</x:v>
      </x:c>
      <x:c r="F23" s="9" t="str">
        <x:v>session_id</x:v>
      </x:c>
      <x:c r="G23" s="9" t="str">
        <x:v>匿名会话关联</x:v>
      </x:c>
    </x:row>
    <x:row r="24" ht="35" customHeight="1">
      <x:c r="B24" s="9" t="str">
        <x:v>model_version</x:v>
      </x:c>
      <x:c r="C24" s="9" t="str">
        <x:v>实际调用的模型标识</x:v>
      </x:c>
      <x:c r="D24" s="9" t="str">
        <x:v>prompt_version</x:v>
      </x:c>
      <x:c r="E24" s="9" t="str">
        <x:v>固定提示词版本</x:v>
      </x:c>
      <x:c r="F24" s="9" t="str">
        <x:v>layout_version</x:v>
      </x:c>
      <x:c r="G24" s="9" t="str">
        <x:v>合成器规则版本</x:v>
      </x:c>
    </x:row>
    <x:row r="25" ht="35" customHeight="1">
      <x:c r="B25" s="9" t="str">
        <x:v>eval_version</x:v>
      </x:c>
      <x:c r="C25" s="9" t="str">
        <x:v>本轮评测规则版本</x:v>
      </x:c>
      <x:c r="D25" s="9" t="str">
        <x:v>is_simulated</x:v>
      </x:c>
      <x:c r="E25" s="9" t="str">
        <x:v>模拟记录强制单列</x:v>
      </x:c>
      <x:c r="F25" s="9" t="str">
        <x:v>error_code</x:v>
      </x:c>
      <x:c r="G25" s="9" t="str">
        <x:v>枚举错误，不存密钥</x:v>
      </x:c>
    </x:row>
    <x:row r="26" ht="35" customHeight="1">
      <x:c r="B26" s="9" t="str">
        <x:v>user_id_hash</x:v>
      </x:c>
      <x:c r="C26" s="9" t="str">
        <x:v>最小化身份信息</x:v>
      </x:c>
      <x:c r="D26" s="9" t="str">
        <x:v>case_id</x:v>
      </x:c>
      <x:c r="E26" s="9" t="str">
        <x:v>离线数据集关联</x:v>
      </x:c>
      <x:c r="F26" s="9"/>
      <x:c r="G26" s="9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.75" hidden="0" customWidth="1"/>
    <x:col min="2" max="2" width="8.75" hidden="0" customWidth="1"/>
    <x:col min="3" max="3" width="8.75" hidden="0" customWidth="1"/>
    <x:col min="4" max="4" width="10" hidden="0" customWidth="1"/>
    <x:col min="5" max="5" width="33.75" hidden="0" customWidth="1"/>
    <x:col min="6" max="6" width="35" hidden="0" customWidth="1"/>
    <x:col min="7" max="7" width="36.25" hidden="0" customWidth="1"/>
    <x:col min="8" max="8" width="37.5" hidden="0" customWidth="1"/>
    <x:col min="9" max="9" width="30.6299991607666" hidden="0" customWidth="1"/>
    <x:col min="10" max="10" width="12.5" hidden="0" customWidth="1"/>
  </x:cols>
  <x:sheetData>
    <x:row r="1" ht="1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0" customHeight="1">
      <x:c r="A2" s="3" t="str">
        <x:v>评测用例 v0.1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32" customHeight="1">
      <x:c r="A3" s="4" t="str">
        <x:v>20 条是已设计用例，当前均未执行。P0 先跑 C01–C08；工程演练单独汇报。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34" customHeight="1">
      <x:c r="A4" s="8" t="str">
        <x:v>用例ID</x:v>
      </x:c>
      <x:c r="B4" s="8" t="str">
        <x:v>类型</x:v>
      </x:c>
      <x:c r="C4" s="8" t="str">
        <x:v>优先级</x:v>
      </x:c>
      <x:c r="D4" s="8" t="str">
        <x:v>用途</x:v>
      </x:c>
      <x:c r="E4" s="8" t="str">
        <x:v>输入素材要求</x:v>
      </x:c>
      <x:c r="F4" s="8" t="str">
        <x:v>任务与条件</x:v>
      </x:c>
      <x:c r="G4" s="8" t="str">
        <x:v>预期结果</x:v>
      </x:c>
      <x:c r="H4" s="8" t="str">
        <x:v>关键检查点</x:v>
      </x:c>
      <x:c r="I4" s="8" t="str">
        <x:v>素材来源/待补充</x:v>
      </x:c>
      <x:c r="J4" s="8" t="str">
        <x:v>执行状态</x:v>
      </x:c>
    </x:row>
    <x:row r="5" ht="65" customHeight="1">
      <x:c r="A5" s="10" t="str">
        <x:v>C01</x:v>
      </x:c>
      <x:c r="B5" s="10" t="str">
        <x:v>视觉</x:v>
      </x:c>
      <x:c r="C5" s="10" t="str">
        <x:v>P0</x:v>
      </x:c>
      <x:c r="D5" s="10" t="str">
        <x:v>调试</x:v>
      </x:c>
      <x:c r="E5" s="10" t="str">
        <x:v>金盖白色鲜奶单瓶；白底</x:v>
      </x:c>
      <x:c r="F5" s="10" t="str">
        <x:v>乳品日常上新；全部自动</x:v>
      </x:c>
      <x:c r="G5" s="10" t="str">
        <x:v>两份完整且明显不同的视觉样稿</x:v>
      </x:c>
      <x:c r="H5" s="10" t="str">
        <x:v>保留瓶型、金盖和标签；不新增营养功效</x:v>
      </x:c>
      <x:c r="I5" s="17" t="str">
        <x:v>E:/...AAAAIIIIIAIPM/个人项目/素材/235白底.png</x:v>
      </x:c>
      <x:c r="J5" s="17" t="str">
        <x:v>未执行</x:v>
      </x:c>
    </x:row>
    <x:row r="6" ht="65" customHeight="1">
      <x:c r="A6" s="9" t="str">
        <x:v>C02</x:v>
      </x:c>
      <x:c r="B6" s="9" t="str">
        <x:v>视觉</x:v>
      </x:c>
      <x:c r="C6" s="9" t="str">
        <x:v>P0</x:v>
      </x:c>
      <x:c r="D6" s="9" t="str">
        <x:v>调试</x:v>
      </x:c>
      <x:c r="E6" s="9" t="str">
        <x:v>绿色瓶身双瓶组合；白底</x:v>
      </x:c>
      <x:c r="F6" s="9" t="str">
        <x:v>清新有活力；自动文案和排版</x:v>
      </x:c>
      <x:c r="G6" s="9" t="str">
        <x:v>有配色与空间层次，完整保留两瓶</x:v>
      </x:c>
      <x:c r="H6" s="9" t="str">
        <x:v>数量为 2；绿色不能漂移成其他口味</x:v>
      </x:c>
      <x:c r="I6" s="17" t="str">
        <x:v>E:/...AAAAIIIIIAIPM/个人项目/素材/形动力4.0鲜活牛乳950ml_2瓶白底.png</x:v>
      </x:c>
      <x:c r="J6" s="17" t="str">
        <x:v>未执行</x:v>
      </x:c>
    </x:row>
    <x:row r="7" ht="65" customHeight="1">
      <x:c r="A7" s="10" t="str">
        <x:v>C03</x:v>
      </x:c>
      <x:c r="B7" s="10" t="str">
        <x:v>视觉</x:v>
      </x:c>
      <x:c r="C7" s="10" t="str">
        <x:v>P0</x:v>
      </x:c>
      <x:c r="D7" s="10" t="str">
        <x:v>调试</x:v>
      </x:c>
      <x:c r="E7" s="10" t="str">
        <x:v>蓝盖与红盖两种包装组合</x:v>
      </x:c>
      <x:c r="F7" s="10" t="str">
        <x:v>轻松日常氛围；不增加功效或价格</x:v>
      </x:c>
      <x:c r="G7" s="10" t="str">
        <x:v>两种包装都保留，画面主次清楚</x:v>
      </x:c>
      <x:c r="H7" s="10" t="str">
        <x:v>数量为 2；不得把两种瓶盖合并成同款</x:v>
      </x:c>
      <x:c r="I7" s="17" t="str">
        <x:v>E:/...AAAAIIIIIAIPM/个人项目/素材/奶壶2-白底图.png</x:v>
      </x:c>
      <x:c r="J7" s="17" t="str">
        <x:v>未执行</x:v>
      </x:c>
    </x:row>
    <x:row r="8" ht="65" customHeight="1">
      <x:c r="A8" s="9" t="str">
        <x:v>C04</x:v>
      </x:c>
      <x:c r="B8" s="9" t="str">
        <x:v>视觉</x:v>
      </x:c>
      <x:c r="C8" s="9" t="str">
        <x:v>P0</x:v>
      </x:c>
      <x:c r="D8" s="9" t="str">
        <x:v>调试</x:v>
      </x:c>
      <x:c r="E8" s="9" t="str">
        <x:v>白底蓝白酸奶杯单品</x:v>
      </x:c>
      <x:c r="F8" s="9" t="str">
        <x:v>明确要求极简留白，无装饰</x:v>
      </x:c>
      <x:c r="G8" s="9" t="str">
        <x:v>极简但有构图意图、光影和文字层级</x:v>
      </x:c>
      <x:c r="H8" s="9" t="str">
        <x:v>不得因留白就判坏；杯盖边缘必须完整</x:v>
      </x:c>
      <x:c r="I8" s="17" t="str">
        <x:v>E:/...AAAAIIIIIAIPM/个人项目/素材/老酸奶1白底.png</x:v>
      </x:c>
      <x:c r="J8" s="17" t="str">
        <x:v>未执行</x:v>
      </x:c>
    </x:row>
    <x:row r="9" ht="65" customHeight="1">
      <x:c r="A9" s="10" t="str">
        <x:v>C05</x:v>
      </x:c>
      <x:c r="B9" s="10" t="str">
        <x:v>视觉</x:v>
      </x:c>
      <x:c r="C9" s="10" t="str">
        <x:v>P0</x:v>
      </x:c>
      <x:c r="D9" s="10" t="str">
        <x:v>验收</x:v>
      </x:c>
      <x:c r="E9" s="10" t="str">
        <x:v>黄色柠檬包装单瓶；独立包装系列</x:v>
      </x:c>
      <x:c r="F9" s="10" t="str">
        <x:v>夏日清爽上新；全部自动</x:v>
      </x:c>
      <x:c r="G9" s="10" t="str">
        <x:v>以色彩、场景和排版表达两份完整方向</x:v>
      </x:c>
      <x:c r="H9" s="10" t="str">
        <x:v>包装文字与瓶型准确；不推断果汁比例</x:v>
      </x:c>
      <x:c r="I9" s="17" t="str">
        <x:v>E:/...AAAAIIIIIAIPM/个人项目/素材/柠檬1白底.png</x:v>
      </x:c>
      <x:c r="J9" s="17" t="str">
        <x:v>未执行</x:v>
      </x:c>
    </x:row>
    <x:row r="10" ht="65" customHeight="1">
      <x:c r="A10" s="9" t="str">
        <x:v>C06</x:v>
      </x:c>
      <x:c r="B10" s="9" t="str">
        <x:v>视觉</x:v>
      </x:c>
      <x:c r="C10" s="9" t="str">
        <x:v>P0</x:v>
      </x:c>
      <x:c r="D10" s="9" t="str">
        <x:v>验收</x:v>
      </x:c>
      <x:c r="E10" s="9" t="str">
        <x:v>两排 8 瓶白色包装组合</x:v>
      </x:c>
      <x:c r="F10" s="9" t="str">
        <x:v>温和轻盈氛围；文案只用日常描述</x:v>
      </x:c>
      <x:c r="G10" s="9" t="str">
        <x:v>8 瓶组合完整，不借增加图片数量提高采用机会</x:v>
      </x:c>
      <x:c r="H10" s="9" t="str">
        <x:v>文件名规格待人工核对；画面瓶数须为 8</x:v>
      </x:c>
      <x:c r="I10" s="17" t="str">
        <x:v>E:/...AAAAIIIIIAIPM/个人项目/素材/天然牧场235m1零乳糖_8瓶白底.jpg</x:v>
      </x:c>
      <x:c r="J10" s="17" t="str">
        <x:v>未执行</x:v>
      </x:c>
    </x:row>
    <x:row r="11" ht="65" customHeight="1">
      <x:c r="A11" s="10" t="str">
        <x:v>C07</x:v>
      </x:c>
      <x:c r="B11" s="10" t="str">
        <x:v>视觉</x:v>
      </x:c>
      <x:c r="C11" s="10" t="str">
        <x:v>P0</x:v>
      </x:c>
      <x:c r="D11" s="10" t="str">
        <x:v>验收</x:v>
      </x:c>
      <x:c r="E11" s="10" t="str">
        <x:v>三种包装的吸吸袋组合</x:v>
      </x:c>
      <x:c r="F11" s="10" t="str">
        <x:v>自定义标题：周末好物；其余自动</x:v>
      </x:c>
      <x:c r="G11" s="10" t="str">
        <x:v>原样呈现标题，三袋均完整，字体有层级</x:v>
      </x:c>
      <x:c r="H11" s="10" t="str">
        <x:v>数量 3；不得编造口味、功效和折扣</x:v>
      </x:c>
      <x:c r="I11" s="17" t="str">
        <x:v>E:/...AAAAIIIIIAIPM/个人项目/素材/吸吸袋白底.png</x:v>
      </x:c>
      <x:c r="J11" s="17" t="str">
        <x:v>未执行</x:v>
      </x:c>
    </x:row>
    <x:row r="12" ht="65" customHeight="1">
      <x:c r="A12" s="9" t="str">
        <x:v>C08</x:v>
      </x:c>
      <x:c r="B12" s="9" t="str">
        <x:v>视觉</x:v>
      </x:c>
      <x:c r="C12" s="9" t="str">
        <x:v>P0</x:v>
      </x:c>
      <x:c r="D12" s="9" t="str">
        <x:v>验收</x:v>
      </x:c>
      <x:c r="E12" s="9" t="str">
        <x:v>两份果蔬双拼包装组合</x:v>
      </x:c>
      <x:c r="F12" s="9" t="str">
        <x:v>自定义背景：柔和浅绿、干净有层次；竖图 3:4</x:v>
      </x:c>
      <x:c r="G12" s="9" t="str">
        <x:v>服从背景要求，两份包装与文字安全区完整</x:v>
      </x:c>
      <x:c r="H12" s="9" t="str">
        <x:v>不推断内部小杯数量；不得把组合拆成同款</x:v>
      </x:c>
      <x:c r="I12" s="17" t="str">
        <x:v>E:/...AAAAIIIIIAIPM/个人项目/素材/果蔬双拼_2白底.png</x:v>
      </x:c>
      <x:c r="J12" s="17" t="str">
        <x:v>未执行</x:v>
      </x:c>
    </x:row>
    <x:row r="13" ht="65" customHeight="1">
      <x:c r="A13" s="10" t="str">
        <x:v>C09</x:v>
      </x:c>
      <x:c r="B13" s="10" t="str">
        <x:v>视觉</x:v>
      </x:c>
      <x:c r="C13" s="10" t="str">
        <x:v>P1</x:v>
      </x:c>
      <x:c r="D13" s="10" t="str">
        <x:v>扩展</x:v>
      </x:c>
      <x:c r="E13" s="10" t="str">
        <x:v>大面积白色瓶身与白底；单瓶</x:v>
      </x:c>
      <x:c r="F13" s="10" t="str">
        <x:v>全部自动</x:v>
      </x:c>
      <x:c r="G13" s="10" t="str">
        <x:v>保留浅色边缘，新背景与商品分离</x:v>
      </x:c>
      <x:c r="H13" s="10" t="str">
        <x:v>不得吞掉瓶盖和瓶肩；不靠改颜色来修边</x:v>
      </x:c>
      <x:c r="I13" s="17" t="str">
        <x:v>E:/...AAAAIIIIIAIPM/个人项目/素材/伊利鲜牛奶1.5L_1白底图.png</x:v>
      </x:c>
      <x:c r="J13" s="17" t="str">
        <x:v>未执行</x:v>
      </x:c>
    </x:row>
    <x:row r="14" ht="65" customHeight="1">
      <x:c r="A14" s="9" t="str">
        <x:v>C10</x:v>
      </x:c>
      <x:c r="B14" s="9" t="str">
        <x:v>视觉</x:v>
      </x:c>
      <x:c r="C14" s="9" t="str">
        <x:v>P1</x:v>
      </x:c>
      <x:c r="D14" s="9" t="str">
        <x:v>扩展</x:v>
      </x:c>
      <x:c r="E14" s="9" t="str">
        <x:v>透明黄色杯身与深色杯套；非乳品扩展</x:v>
      </x:c>
      <x:c r="F14" s="9" t="str">
        <x:v>全部自动，不添加饮品内容</x:v>
      </x:c>
      <x:c r="G14" s="9" t="str">
        <x:v>透明材质与背景融合；外形完整</x:v>
      </x:c>
      <x:c r="H14" s="9" t="str">
        <x:v>仅作透明主体扩展测试，不外推乳品结论</x:v>
      </x:c>
      <x:c r="I14" s="17" t="str">
        <x:v>E:/...AAAAIIIIIAIPM/个人项目/素材/白底(1).png</x:v>
      </x:c>
      <x:c r="J14" s="17" t="str">
        <x:v>未执行</x:v>
      </x:c>
    </x:row>
    <x:row r="15" ht="65" customHeight="1">
      <x:c r="A15" s="10" t="str">
        <x:v>C11</x:v>
      </x:c>
      <x:c r="B15" s="10" t="str">
        <x:v>视觉</x:v>
      </x:c>
      <x:c r="C15" s="10" t="str">
        <x:v>P1</x:v>
      </x:c>
      <x:c r="D15" s="10" t="str">
        <x:v>扩展</x:v>
      </x:c>
      <x:c r="E15" s="10" t="str">
        <x:v>6 小瓶加 1 大瓶的混合规格组合</x:v>
      </x:c>
      <x:c r="F15" s="10" t="str">
        <x:v>保持混合规格，仅生成视觉方向</x:v>
      </x:c>
      <x:c r="G15" s="10" t="str">
        <x:v>七瓶与相对大小关系完整</x:v>
      </x:c>
      <x:c r="H15" s="10" t="str">
        <x:v>6+1 由文件名与画面初步核对，正式规格你再确认</x:v>
      </x:c>
      <x:c r="I15" s="17" t="str">
        <x:v>E:/...AAAAIIIIIAIPM/个人项目/素材/伊利金典鲜牛奶235_6+450_1瓶白底.png</x:v>
      </x:c>
      <x:c r="J15" s="17" t="str">
        <x:v>未执行</x:v>
      </x:c>
    </x:row>
    <x:row r="16" ht="65" customHeight="1">
      <x:c r="A16" s="9" t="str">
        <x:v>C12</x:v>
      </x:c>
      <x:c r="B16" s="9" t="str">
        <x:v>视觉</x:v>
      </x:c>
      <x:c r="C16" s="9" t="str">
        <x:v>P1</x:v>
      </x:c>
      <x:c r="D16" s="9" t="str">
        <x:v>扩展</x:v>
      </x:c>
      <x:c r="E16" s="9" t="str">
        <x:v>四瓶横向并排组合</x:v>
      </x:c>
      <x:c r="F16" s="9" t="str">
        <x:v>竖图 3:4，自动策略</x:v>
      </x:c>
      <x:c r="G16" s="9" t="str">
        <x:v>完整容纳四瓶，不拉伸，不截瓶盖</x:v>
      </x:c>
      <x:c r="H16" s="9" t="str">
        <x:v>与调试素材同系列，扩展结果不算独立验收</x:v>
      </x:c>
      <x:c r="I16" s="17" t="str">
        <x:v>E:/...AAAAIIIIIAIPM/个人项目/素材/形动力4.0鲜活牛乳950ml_4瓶白底.png</x:v>
      </x:c>
      <x:c r="J16" s="17" t="str">
        <x:v>未执行</x:v>
      </x:c>
    </x:row>
    <x:row r="17" ht="65" customHeight="1">
      <x:c r="A17" s="10" t="str">
        <x:v>C13</x:v>
      </x:c>
      <x:c r="B17" s="10" t="str">
        <x:v>视觉</x:v>
      </x:c>
      <x:c r="C17" s="10" t="str">
        <x:v>P1</x:v>
      </x:c>
      <x:c r="D17" s="10" t="str">
        <x:v>边界</x:v>
      </x:c>
      <x:c r="E17" s="10" t="str">
        <x:v>7 杯前后遮挡的组合；白底</x:v>
      </x:c>
      <x:c r="F17" s="10" t="str">
        <x:v>全部自动，保留原组合关系</x:v>
      </x:c>
      <x:c r="G17" s="10" t="str">
        <x:v>组合整体抠出；不误删被遮挡的后排</x:v>
      </x:c>
      <x:c r="H17" s="10" t="str">
        <x:v>遮挡视为输入事实，不补出不存在的包装</x:v>
      </x:c>
      <x:c r="I17" s="17" t="str">
        <x:v>E:/...AAAAIIIIIAIPM/个人项目/素材/老酸奶7白底.png</x:v>
      </x:c>
      <x:c r="J17" s="17" t="str">
        <x:v>未执行</x:v>
      </x:c>
    </x:row>
    <x:row r="18" ht="65" customHeight="1">
      <x:c r="A18" s="9" t="str">
        <x:v>C14</x:v>
      </x:c>
      <x:c r="B18" s="9" t="str">
        <x:v>视觉</x:v>
      </x:c>
      <x:c r="C18" s="9" t="str">
        <x:v>P1</x:v>
      </x:c>
      <x:c r="D18" s="9" t="str">
        <x:v>边界</x:v>
      </x:c>
      <x:c r="E18" s="9" t="str">
        <x:v>浅粉浅白包装，低对比标签</x:v>
      </x:c>
      <x:c r="F18" s="9" t="str">
        <x:v>全部自动</x:v>
      </x:c>
      <x:c r="G18" s="9" t="str">
        <x:v>浅色细节不丢失；文字可辨</x:v>
      </x:c>
      <x:c r="H18" s="9" t="str">
        <x:v>不是低清退化样本；按实际图的低对比测试</x:v>
      </x:c>
      <x:c r="I18" s="17" t="str">
        <x:v>E:/...AAAAIIIIIAIPM/个人项目/素材/白底/未标题-1.png</x:v>
      </x:c>
      <x:c r="J18" s="17" t="str">
        <x:v>未执行</x:v>
      </x:c>
    </x:row>
    <x:row r="19" ht="65" customHeight="1">
      <x:c r="A19" s="10" t="str">
        <x:v>C15</x:v>
      </x:c>
      <x:c r="B19" s="10" t="str">
        <x:v>视觉</x:v>
      </x:c>
      <x:c r="C19" s="10" t="str">
        <x:v>P1</x:v>
      </x:c>
      <x:c r="D19" s="10" t="str">
        <x:v>边界</x:v>
      </x:c>
      <x:c r="E19" s="10" t="str">
        <x:v>紫色包装，标签细节较多</x:v>
      </x:c>
      <x:c r="F19" s="10" t="str">
        <x:v>自定义较长标题，副标题另行冻结</x:v>
      </x:c>
      <x:c r="G19" s="10" t="str">
        <x:v>包装文字保持；长标题正常换行不遮主体</x:v>
      </x:c>
      <x:c r="H19" s="10" t="str">
        <x:v>正式执行前固定具体文案；相似系列只作扩展</x:v>
      </x:c>
      <x:c r="I19" s="17" t="str">
        <x:v>E:/...AAAAIIIIIAIPM/个人项目/素材/白底/未标题-2.png</x:v>
      </x:c>
      <x:c r="J19" s="17" t="str">
        <x:v>未执行</x:v>
      </x:c>
    </x:row>
    <x:row r="20" ht="65" customHeight="1">
      <x:c r="A20" s="9" t="str">
        <x:v>C16</x:v>
      </x:c>
      <x:c r="B20" s="9" t="str">
        <x:v>视觉</x:v>
      </x:c>
      <x:c r="C20" s="9" t="str">
        <x:v>P1</x:v>
      </x:c>
      <x:c r="D20" s="9" t="str">
        <x:v>边界</x:v>
      </x:c>
      <x:c r="E20" s="9" t="str">
        <x:v>两款包装单瓶并列，缺额外商品资料</x:v>
      </x:c>
      <x:c r="F20" s="9" t="str">
        <x:v>全部自动，仅使用可见外观事实</x:v>
      </x:c>
      <x:c r="G20" s="9" t="str">
        <x:v>保留两款包装；营销文案不新增健康功效</x:v>
      </x:c>
      <x:c r="H20" s="9" t="str">
        <x:v>不得把文件名中的词扩写成未经确认的功效</x:v>
      </x:c>
      <x:c r="I20" s="17" t="str">
        <x:v>E:/...AAAAIIIIIAIPM/个人项目/素材/7种活菌白底图.png</x:v>
      </x:c>
      <x:c r="J20" s="17" t="str">
        <x:v>未执行</x:v>
      </x:c>
    </x:row>
    <x:row r="21" ht="65" customHeight="1">
      <x:c r="A21" s="10" t="str">
        <x:v>C17</x:v>
      </x:c>
      <x:c r="B21" s="10" t="str">
        <x:v>链路</x:v>
      </x:c>
      <x:c r="C21" s="10" t="str">
        <x:v>P0</x:v>
      </x:c>
      <x:c r="D21" s="10" t="str">
        <x:v>工程</x:v>
      </x:c>
      <x:c r="E21" s="10" t="str">
        <x:v>有效图片+模拟无法解析策略响应</x:v>
      </x:c>
      <x:c r="F21" s="10" t="str">
        <x:v>注入无效 JSON，不调用付费生图</x:v>
      </x:c>
      <x:c r="G21" s="10" t="str">
        <x:v>标明规划失败或明确回退策略，保留输入</x:v>
      </x:c>
      <x:c r="H21" s="10" t="str">
        <x:v>不得显示成功或触发重复计费；模拟单列</x:v>
      </x:c>
      <x:c r="I21" s="17" t="str">
        <x:v>E:/...AAAAIIIIIAIPM/个人项目/素材/235白底.png；受控故障演练</x:v>
      </x:c>
      <x:c r="J21" s="17" t="str">
        <x:v>未执行</x:v>
      </x:c>
    </x:row>
    <x:row r="22" ht="65" customHeight="1">
      <x:c r="A22" s="9" t="str">
        <x:v>C18</x:v>
      </x:c>
      <x:c r="B22" s="9" t="str">
        <x:v>链路</x:v>
      </x:c>
      <x:c r="C22" s="9" t="str">
        <x:v>P0</x:v>
      </x:c>
      <x:c r="D22" s="9" t="str">
        <x:v>工程</x:v>
      </x:c>
      <x:c r="E22" s="9" t="str">
        <x:v>已生成图片+模拟存储失败</x:v>
      </x:c>
      <x:c r="F22" s="9" t="str">
        <x:v>只在保存阶段注入故障</x:v>
      </x:c>
      <x:c r="G22" s="9" t="str">
        <x:v>可恢复保存，不重新发起生图</x:v>
      </x:c>
      <x:c r="H22" s="9" t="str">
        <x:v>需原始 job/输出引用/恢复后的资产证据</x:v>
      </x:c>
      <x:c r="I22" s="17" t="str">
        <x:v>E:/...AAAAIIIIIAIPM/个人项目/素材/235白底.png；受控故障演练</x:v>
      </x:c>
      <x:c r="J22" s="17" t="str">
        <x:v>未执行</x:v>
      </x:c>
    </x:row>
    <x:row r="23" ht="65" customHeight="1">
      <x:c r="A23" s="10" t="str">
        <x:v>C19</x:v>
      </x:c>
      <x:c r="B23" s="10" t="str">
        <x:v>链路</x:v>
      </x:c>
      <x:c r="C23" s="10" t="str">
        <x:v>P0</x:v>
      </x:c>
      <x:c r="D23" s="10" t="str">
        <x:v>工程</x:v>
      </x:c>
      <x:c r="E23" s="10" t="str">
        <x:v>有效图片+重复点击/请求重发</x:v>
      </x:c>
      <x:c r="F23" s="10" t="str">
        <x:v>同一幂等键重放两次</x:v>
      </x:c>
      <x:c r="G23" s="10" t="str">
        <x:v>只受理一次付费任务，返回相同 job</x:v>
      </x:c>
      <x:c r="H23" s="10" t="str">
        <x:v>用服务端 job 与请求计数验证，不只看按钮</x:v>
      </x:c>
      <x:c r="I23" s="17" t="str">
        <x:v>E:/...AAAAIIIIIAIPM/个人项目/素材/235白底.png；受控故障演练</x:v>
      </x:c>
      <x:c r="J23" s="17" t="str">
        <x:v>未执行</x:v>
      </x:c>
    </x:row>
    <x:row r="24" ht="65" customHeight="1">
      <x:c r="A24" s="9" t="str">
        <x:v>C20</x:v>
      </x:c>
      <x:c r="B24" s="9" t="str">
        <x:v>链路</x:v>
      </x:c>
      <x:c r="C24" s="9" t="str">
        <x:v>P0</x:v>
      </x:c>
      <x:c r="D24" s="9" t="str">
        <x:v>工程</x:v>
      </x:c>
      <x:c r="E24" s="9" t="str">
        <x:v>可恢复任务+刷新/版本切换</x:v>
      </x:c>
      <x:c r="F24" s="9" t="str">
        <x:v>生成中刷新，结果到达后读取</x:v>
      </x:c>
      <x:c r="G24" s="9" t="str">
        <x:v>展示正确输入版本结果，旧图不覆盖新任务</x:v>
      </x:c>
      <x:c r="H24" s="9" t="str">
        <x:v>检查 task/job/input_revision 及终态</x:v>
      </x:c>
      <x:c r="I24" s="17" t="str">
        <x:v>E:/...AAAAIIIIIAIPM/个人项目/素材/235白底.png；受控故障演练</x:v>
      </x:c>
      <x:c r="J24" s="17" t="str">
        <x:v>未执行</x:v>
      </x:c>
    </x:row>
  </x:sheetData>
  <x:dataValidations count="1">
    <x:dataValidation type="list" sqref="J5:J24">
      <x:formula1>"未执行,已执行,阻塞"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.75" hidden="0" customWidth="1"/>
    <x:col min="2" max="2" width="10.630000114440918" hidden="0" customWidth="1"/>
    <x:col min="3" max="3" width="8.130000114440918" hidden="0" customWidth="1"/>
    <x:col min="4" max="4" width="10" hidden="0" customWidth="1"/>
    <x:col min="5" max="5" width="13.75" hidden="0" customWidth="1"/>
    <x:col min="6" max="6" width="13.75" hidden="0" customWidth="1"/>
    <x:col min="7" max="7" width="25.6299991607666" hidden="0" customWidth="1"/>
    <x:col min="8" max="8" width="33.75" hidden="0" customWidth="1"/>
    <x:col min="9" max="9" width="13.75" hidden="0" customWidth="1"/>
    <x:col min="10" max="10" width="12.5" hidden="0" customWidth="1"/>
    <x:col min="11" max="11" width="12.5" hidden="0" customWidth="1"/>
    <x:col min="12" max="12" width="15" hidden="0" customWidth="1"/>
    <x:col min="13" max="13" width="13.75" hidden="0" customWidth="1"/>
    <x:col min="14" max="14" width="15" hidden="0" customWidth="1"/>
    <x:col min="15" max="15" width="15" hidden="0" customWidth="1"/>
    <x:col min="16" max="16" width="20.6299991607666" hidden="0" customWidth="1"/>
    <x:col min="17" max="17" width="16.25" hidden="0" customWidth="1"/>
  </x:cols>
  <x:sheetData>
    <x:row r="1" ht="1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30" customHeight="1">
      <x:c r="A2" s="3" t="str">
        <x:v>首轮运行记录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 ht="32" customHeight="1">
      <x:c r="A3" s="4" t="str">
        <x:v>浅黄色为待填写输入。A 为当前基线，B 为改进版；重试另记，不覆盖首轮。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 ht="34" customHeight="1">
      <x:c r="A4" s="8" t="str">
        <x:v>运行ID</x:v>
      </x:c>
      <x:c r="B4" s="8" t="str">
        <x:v>用例ID</x:v>
      </x:c>
      <x:c r="C4" s="8" t="str">
        <x:v>版本</x:v>
      </x:c>
      <x:c r="D4" s="8" t="str">
        <x:v>类型</x:v>
      </x:c>
      <x:c r="E4" s="8" t="str">
        <x:v>记录来源</x:v>
      </x:c>
      <x:c r="F4" s="8" t="str">
        <x:v>运行状态</x:v>
      </x:c>
      <x:c r="G4" s="8" t="str">
        <x:v>job/request ID</x:v>
      </x:c>
      <x:c r="H4" s="8" t="str">
        <x:v>原始证据位置</x:v>
      </x:c>
      <x:c r="I4" s="8" t="str">
        <x:v>实际图片数</x:v>
      </x:c>
      <x:c r="J4" s="8" t="str">
        <x:v>耗时秒</x:v>
      </x:c>
      <x:c r="K4" s="8" t="str">
        <x:v>成本元</x:v>
      </x:c>
      <x:c r="L4" s="8" t="str">
        <x:v>链路符合预期</x:v>
      </x:c>
      <x:c r="M4" s="8" t="str">
        <x:v>已评图片数</x:v>
      </x:c>
      <x:c r="N4" s="8" t="str">
        <x:v>可采用图片数</x:v>
      </x:c>
      <x:c r="O4" s="8" t="str">
        <x:v>纳入视觉统计</x:v>
      </x:c>
      <x:c r="P4" s="8" t="str">
        <x:v>任务结论</x:v>
      </x:c>
      <x:c r="Q4" s="8" t="str">
        <x:v>组内差异评审</x:v>
      </x:c>
    </x:row>
    <x:row r="5" ht="52" customHeight="1">
      <x:c r="A5" s="10" t="str">
        <x:v>A-C01</x:v>
      </x:c>
      <x:c r="B5" s="10" t="str">
        <x:v>C01</x:v>
      </x:c>
      <x:c r="C5" s="10" t="str">
        <x:v>A</x:v>
      </x:c>
      <x:c r="D5" s="10" t="str">
        <x:v>视觉</x:v>
      </x:c>
      <x:c r="E5" s="17"/>
      <x:c r="F5" s="17" t="str">
        <x:v>未执行</x:v>
      </x:c>
      <x:c r="G5" s="17"/>
      <x:c r="H5" s="17"/>
      <x:c r="I5" s="19"/>
      <x:c r="J5" s="18"/>
      <x:c r="K5" s="18"/>
      <x:c r="L5" s="17"/>
      <x:c r="M5" s="20" t="n">
        <x:f>COUNTIFS('图片评分'!$B$5:$B$68,A5,'图片评分'!$M$5:$M$68,"采用")+COUNTIFS('图片评分'!$B$5:$B$68,A5,'图片评分'!$M$5:$M$68,"不采用")</x:f>
        <x:v>0</x:v>
      </x:c>
      <x:c r="N5" s="20" t="n">
        <x:f>COUNTIFS('图片评分'!$B$5:$B$68,A5,'图片评分'!$M$5:$M$68,"采用")</x:f>
        <x:v>0</x:v>
      </x:c>
      <x:c r="O5" s="20" t="n">
        <x:f>IF(AND(D5="视觉",E5="真实运行",OR(F5="完成",F5="失败")),1,0)</x:f>
        <x:v>0</x:v>
      </x:c>
      <x:c r="P5" s="10" t="str">
        <x:f>IF(F5="未执行","未执行",IF(F5="阻塞","阻塞",IF(OR(E5="",G5="",H5=""),"待补运行证据",IF(D5="链路",IF(L5="","待评审",IF(L5="合格","链路合格","链路不合格")),IF(F5="失败","失败",IF(OR(I5="",I5&lt;2),"不足两张，检查交付",IF(M5&lt;I5,"待评审",IF(M5&gt;I5,"数量不一致",IF(N5&gt;0,"有可采用","无可采用")))))))))</x:f>
        <x:v>未执行</x:v>
      </x:c>
      <x:c r="Q5" s="17"/>
    </x:row>
    <x:row r="6" ht="52" customHeight="1">
      <x:c r="A6" s="9" t="str">
        <x:v>A-C02</x:v>
      </x:c>
      <x:c r="B6" s="9" t="str">
        <x:v>C02</x:v>
      </x:c>
      <x:c r="C6" s="9" t="str">
        <x:v>A</x:v>
      </x:c>
      <x:c r="D6" s="9" t="str">
        <x:v>视觉</x:v>
      </x:c>
      <x:c r="E6" s="17"/>
      <x:c r="F6" s="17" t="str">
        <x:v>未执行</x:v>
      </x:c>
      <x:c r="G6" s="17"/>
      <x:c r="H6" s="17"/>
      <x:c r="I6" s="19"/>
      <x:c r="J6" s="18"/>
      <x:c r="K6" s="18"/>
      <x:c r="L6" s="17"/>
      <x:c r="M6" s="21" t="n">
        <x:f>COUNTIFS('图片评分'!$B$5:$B$68,A6,'图片评分'!$M$5:$M$68,"采用")+COUNTIFS('图片评分'!$B$5:$B$68,A6,'图片评分'!$M$5:$M$68,"不采用")</x:f>
        <x:v>0</x:v>
      </x:c>
      <x:c r="N6" s="21" t="n">
        <x:f>COUNTIFS('图片评分'!$B$5:$B$68,A6,'图片评分'!$M$5:$M$68,"采用")</x:f>
        <x:v>0</x:v>
      </x:c>
      <x:c r="O6" s="21" t="n">
        <x:f>IF(AND(D6="视觉",E6="真实运行",OR(F6="完成",F6="失败")),1,0)</x:f>
        <x:v>0</x:v>
      </x:c>
      <x:c r="P6" s="9" t="str">
        <x:f>IF(F6="未执行","未执行",IF(F6="阻塞","阻塞",IF(OR(E6="",G6="",H6=""),"待补运行证据",IF(D6="链路",IF(L6="","待评审",IF(L6="合格","链路合格","链路不合格")),IF(F6="失败","失败",IF(OR(I6="",I6&lt;2),"不足两张，检查交付",IF(M6&lt;I6,"待评审",IF(M6&gt;I6,"数量不一致",IF(N6&gt;0,"有可采用","无可采用")))))))))</x:f>
        <x:v>未执行</x:v>
      </x:c>
      <x:c r="Q6" s="17"/>
    </x:row>
    <x:row r="7" ht="52" customHeight="1">
      <x:c r="A7" s="10" t="str">
        <x:v>A-C03</x:v>
      </x:c>
      <x:c r="B7" s="10" t="str">
        <x:v>C03</x:v>
      </x:c>
      <x:c r="C7" s="10" t="str">
        <x:v>A</x:v>
      </x:c>
      <x:c r="D7" s="10" t="str">
        <x:v>视觉</x:v>
      </x:c>
      <x:c r="E7" s="17"/>
      <x:c r="F7" s="17" t="str">
        <x:v>未执行</x:v>
      </x:c>
      <x:c r="G7" s="17"/>
      <x:c r="H7" s="17"/>
      <x:c r="I7" s="19"/>
      <x:c r="J7" s="18"/>
      <x:c r="K7" s="18"/>
      <x:c r="L7" s="17"/>
      <x:c r="M7" s="20" t="n">
        <x:f>COUNTIFS('图片评分'!$B$5:$B$68,A7,'图片评分'!$M$5:$M$68,"采用")+COUNTIFS('图片评分'!$B$5:$B$68,A7,'图片评分'!$M$5:$M$68,"不采用")</x:f>
        <x:v>0</x:v>
      </x:c>
      <x:c r="N7" s="20" t="n">
        <x:f>COUNTIFS('图片评分'!$B$5:$B$68,A7,'图片评分'!$M$5:$M$68,"采用")</x:f>
        <x:v>0</x:v>
      </x:c>
      <x:c r="O7" s="20" t="n">
        <x:f>IF(AND(D7="视觉",E7="真实运行",OR(F7="完成",F7="失败")),1,0)</x:f>
        <x:v>0</x:v>
      </x:c>
      <x:c r="P7" s="10" t="str">
        <x:f>IF(F7="未执行","未执行",IF(F7="阻塞","阻塞",IF(OR(E7="",G7="",H7=""),"待补运行证据",IF(D7="链路",IF(L7="","待评审",IF(L7="合格","链路合格","链路不合格")),IF(F7="失败","失败",IF(OR(I7="",I7&lt;2),"不足两张，检查交付",IF(M7&lt;I7,"待评审",IF(M7&gt;I7,"数量不一致",IF(N7&gt;0,"有可采用","无可采用")))))))))</x:f>
        <x:v>未执行</x:v>
      </x:c>
      <x:c r="Q7" s="17"/>
    </x:row>
    <x:row r="8" ht="52" customHeight="1">
      <x:c r="A8" s="9" t="str">
        <x:v>A-C04</x:v>
      </x:c>
      <x:c r="B8" s="9" t="str">
        <x:v>C04</x:v>
      </x:c>
      <x:c r="C8" s="9" t="str">
        <x:v>A</x:v>
      </x:c>
      <x:c r="D8" s="9" t="str">
        <x:v>视觉</x:v>
      </x:c>
      <x:c r="E8" s="17"/>
      <x:c r="F8" s="17" t="str">
        <x:v>未执行</x:v>
      </x:c>
      <x:c r="G8" s="17"/>
      <x:c r="H8" s="17"/>
      <x:c r="I8" s="19"/>
      <x:c r="J8" s="18"/>
      <x:c r="K8" s="18"/>
      <x:c r="L8" s="17"/>
      <x:c r="M8" s="21" t="n">
        <x:f>COUNTIFS('图片评分'!$B$5:$B$68,A8,'图片评分'!$M$5:$M$68,"采用")+COUNTIFS('图片评分'!$B$5:$B$68,A8,'图片评分'!$M$5:$M$68,"不采用")</x:f>
        <x:v>0</x:v>
      </x:c>
      <x:c r="N8" s="21" t="n">
        <x:f>COUNTIFS('图片评分'!$B$5:$B$68,A8,'图片评分'!$M$5:$M$68,"采用")</x:f>
        <x:v>0</x:v>
      </x:c>
      <x:c r="O8" s="21" t="n">
        <x:f>IF(AND(D8="视觉",E8="真实运行",OR(F8="完成",F8="失败")),1,0)</x:f>
        <x:v>0</x:v>
      </x:c>
      <x:c r="P8" s="9" t="str">
        <x:f>IF(F8="未执行","未执行",IF(F8="阻塞","阻塞",IF(OR(E8="",G8="",H8=""),"待补运行证据",IF(D8="链路",IF(L8="","待评审",IF(L8="合格","链路合格","链路不合格")),IF(F8="失败","失败",IF(OR(I8="",I8&lt;2),"不足两张，检查交付",IF(M8&lt;I8,"待评审",IF(M8&gt;I8,"数量不一致",IF(N8&gt;0,"有可采用","无可采用")))))))))</x:f>
        <x:v>未执行</x:v>
      </x:c>
      <x:c r="Q8" s="17"/>
    </x:row>
    <x:row r="9" ht="52" customHeight="1">
      <x:c r="A9" s="10" t="str">
        <x:v>A-C05</x:v>
      </x:c>
      <x:c r="B9" s="10" t="str">
        <x:v>C05</x:v>
      </x:c>
      <x:c r="C9" s="10" t="str">
        <x:v>A</x:v>
      </x:c>
      <x:c r="D9" s="10" t="str">
        <x:v>视觉</x:v>
      </x:c>
      <x:c r="E9" s="17"/>
      <x:c r="F9" s="17" t="str">
        <x:v>未执行</x:v>
      </x:c>
      <x:c r="G9" s="17"/>
      <x:c r="H9" s="17"/>
      <x:c r="I9" s="19"/>
      <x:c r="J9" s="18"/>
      <x:c r="K9" s="18"/>
      <x:c r="L9" s="17"/>
      <x:c r="M9" s="20" t="n">
        <x:f>COUNTIFS('图片评分'!$B$5:$B$68,A9,'图片评分'!$M$5:$M$68,"采用")+COUNTIFS('图片评分'!$B$5:$B$68,A9,'图片评分'!$M$5:$M$68,"不采用")</x:f>
        <x:v>0</x:v>
      </x:c>
      <x:c r="N9" s="20" t="n">
        <x:f>COUNTIFS('图片评分'!$B$5:$B$68,A9,'图片评分'!$M$5:$M$68,"采用")</x:f>
        <x:v>0</x:v>
      </x:c>
      <x:c r="O9" s="20" t="n">
        <x:f>IF(AND(D9="视觉",E9="真实运行",OR(F9="完成",F9="失败")),1,0)</x:f>
        <x:v>0</x:v>
      </x:c>
      <x:c r="P9" s="10" t="str">
        <x:f>IF(F9="未执行","未执行",IF(F9="阻塞","阻塞",IF(OR(E9="",G9="",H9=""),"待补运行证据",IF(D9="链路",IF(L9="","待评审",IF(L9="合格","链路合格","链路不合格")),IF(F9="失败","失败",IF(OR(I9="",I9&lt;2),"不足两张，检查交付",IF(M9&lt;I9,"待评审",IF(M9&gt;I9,"数量不一致",IF(N9&gt;0,"有可采用","无可采用")))))))))</x:f>
        <x:v>未执行</x:v>
      </x:c>
      <x:c r="Q9" s="17"/>
    </x:row>
    <x:row r="10" ht="52" customHeight="1">
      <x:c r="A10" s="9" t="str">
        <x:v>A-C06</x:v>
      </x:c>
      <x:c r="B10" s="9" t="str">
        <x:v>C06</x:v>
      </x:c>
      <x:c r="C10" s="9" t="str">
        <x:v>A</x:v>
      </x:c>
      <x:c r="D10" s="9" t="str">
        <x:v>视觉</x:v>
      </x:c>
      <x:c r="E10" s="17"/>
      <x:c r="F10" s="17" t="str">
        <x:v>未执行</x:v>
      </x:c>
      <x:c r="G10" s="17"/>
      <x:c r="H10" s="17"/>
      <x:c r="I10" s="19"/>
      <x:c r="J10" s="18"/>
      <x:c r="K10" s="18"/>
      <x:c r="L10" s="17"/>
      <x:c r="M10" s="21" t="n">
        <x:f>COUNTIFS('图片评分'!$B$5:$B$68,A10,'图片评分'!$M$5:$M$68,"采用")+COUNTIFS('图片评分'!$B$5:$B$68,A10,'图片评分'!$M$5:$M$68,"不采用")</x:f>
        <x:v>0</x:v>
      </x:c>
      <x:c r="N10" s="21" t="n">
        <x:f>COUNTIFS('图片评分'!$B$5:$B$68,A10,'图片评分'!$M$5:$M$68,"采用")</x:f>
        <x:v>0</x:v>
      </x:c>
      <x:c r="O10" s="21" t="n">
        <x:f>IF(AND(D10="视觉",E10="真实运行",OR(F10="完成",F10="失败")),1,0)</x:f>
        <x:v>0</x:v>
      </x:c>
      <x:c r="P10" s="9" t="str">
        <x:f>IF(F10="未执行","未执行",IF(F10="阻塞","阻塞",IF(OR(E10="",G10="",H10=""),"待补运行证据",IF(D10="链路",IF(L10="","待评审",IF(L10="合格","链路合格","链路不合格")),IF(F10="失败","失败",IF(OR(I10="",I10&lt;2),"不足两张，检查交付",IF(M10&lt;I10,"待评审",IF(M10&gt;I10,"数量不一致",IF(N10&gt;0,"有可采用","无可采用")))))))))</x:f>
        <x:v>未执行</x:v>
      </x:c>
      <x:c r="Q10" s="17"/>
    </x:row>
    <x:row r="11" ht="52" customHeight="1">
      <x:c r="A11" s="10" t="str">
        <x:v>A-C07</x:v>
      </x:c>
      <x:c r="B11" s="10" t="str">
        <x:v>C07</x:v>
      </x:c>
      <x:c r="C11" s="10" t="str">
        <x:v>A</x:v>
      </x:c>
      <x:c r="D11" s="10" t="str">
        <x:v>视觉</x:v>
      </x:c>
      <x:c r="E11" s="17"/>
      <x:c r="F11" s="17" t="str">
        <x:v>未执行</x:v>
      </x:c>
      <x:c r="G11" s="17"/>
      <x:c r="H11" s="17"/>
      <x:c r="I11" s="19"/>
      <x:c r="J11" s="18"/>
      <x:c r="K11" s="18"/>
      <x:c r="L11" s="17"/>
      <x:c r="M11" s="20" t="n">
        <x:f>COUNTIFS('图片评分'!$B$5:$B$68,A11,'图片评分'!$M$5:$M$68,"采用")+COUNTIFS('图片评分'!$B$5:$B$68,A11,'图片评分'!$M$5:$M$68,"不采用")</x:f>
        <x:v>0</x:v>
      </x:c>
      <x:c r="N11" s="20" t="n">
        <x:f>COUNTIFS('图片评分'!$B$5:$B$68,A11,'图片评分'!$M$5:$M$68,"采用")</x:f>
        <x:v>0</x:v>
      </x:c>
      <x:c r="O11" s="20" t="n">
        <x:f>IF(AND(D11="视觉",E11="真实运行",OR(F11="完成",F11="失败")),1,0)</x:f>
        <x:v>0</x:v>
      </x:c>
      <x:c r="P11" s="10" t="str">
        <x:f>IF(F11="未执行","未执行",IF(F11="阻塞","阻塞",IF(OR(E11="",G11="",H11=""),"待补运行证据",IF(D11="链路",IF(L11="","待评审",IF(L11="合格","链路合格","链路不合格")),IF(F11="失败","失败",IF(OR(I11="",I11&lt;2),"不足两张，检查交付",IF(M11&lt;I11,"待评审",IF(M11&gt;I11,"数量不一致",IF(N11&gt;0,"有可采用","无可采用")))))))))</x:f>
        <x:v>未执行</x:v>
      </x:c>
      <x:c r="Q11" s="17"/>
    </x:row>
    <x:row r="12" ht="52" customHeight="1">
      <x:c r="A12" s="9" t="str">
        <x:v>A-C08</x:v>
      </x:c>
      <x:c r="B12" s="9" t="str">
        <x:v>C08</x:v>
      </x:c>
      <x:c r="C12" s="9" t="str">
        <x:v>A</x:v>
      </x:c>
      <x:c r="D12" s="9" t="str">
        <x:v>视觉</x:v>
      </x:c>
      <x:c r="E12" s="17"/>
      <x:c r="F12" s="17" t="str">
        <x:v>未执行</x:v>
      </x:c>
      <x:c r="G12" s="17"/>
      <x:c r="H12" s="17"/>
      <x:c r="I12" s="19"/>
      <x:c r="J12" s="18"/>
      <x:c r="K12" s="18"/>
      <x:c r="L12" s="17"/>
      <x:c r="M12" s="21" t="n">
        <x:f>COUNTIFS('图片评分'!$B$5:$B$68,A12,'图片评分'!$M$5:$M$68,"采用")+COUNTIFS('图片评分'!$B$5:$B$68,A12,'图片评分'!$M$5:$M$68,"不采用")</x:f>
        <x:v>0</x:v>
      </x:c>
      <x:c r="N12" s="21" t="n">
        <x:f>COUNTIFS('图片评分'!$B$5:$B$68,A12,'图片评分'!$M$5:$M$68,"采用")</x:f>
        <x:v>0</x:v>
      </x:c>
      <x:c r="O12" s="21" t="n">
        <x:f>IF(AND(D12="视觉",E12="真实运行",OR(F12="完成",F12="失败")),1,0)</x:f>
        <x:v>0</x:v>
      </x:c>
      <x:c r="P12" s="9" t="str">
        <x:f>IF(F12="未执行","未执行",IF(F12="阻塞","阻塞",IF(OR(E12="",G12="",H12=""),"待补运行证据",IF(D12="链路",IF(L12="","待评审",IF(L12="合格","链路合格","链路不合格")),IF(F12="失败","失败",IF(OR(I12="",I12&lt;2),"不足两张，检查交付",IF(M12&lt;I12,"待评审",IF(M12&gt;I12,"数量不一致",IF(N12&gt;0,"有可采用","无可采用")))))))))</x:f>
        <x:v>未执行</x:v>
      </x:c>
      <x:c r="Q12" s="17"/>
    </x:row>
    <x:row r="13" ht="52" customHeight="1">
      <x:c r="A13" s="10" t="str">
        <x:v>A-C09</x:v>
      </x:c>
      <x:c r="B13" s="10" t="str">
        <x:v>C09</x:v>
      </x:c>
      <x:c r="C13" s="10" t="str">
        <x:v>A</x:v>
      </x:c>
      <x:c r="D13" s="10" t="str">
        <x:v>视觉</x:v>
      </x:c>
      <x:c r="E13" s="17"/>
      <x:c r="F13" s="17" t="str">
        <x:v>未执行</x:v>
      </x:c>
      <x:c r="G13" s="17"/>
      <x:c r="H13" s="17"/>
      <x:c r="I13" s="19"/>
      <x:c r="J13" s="18"/>
      <x:c r="K13" s="18"/>
      <x:c r="L13" s="17"/>
      <x:c r="M13" s="20" t="n">
        <x:f>COUNTIFS('图片评分'!$B$5:$B$68,A13,'图片评分'!$M$5:$M$68,"采用")+COUNTIFS('图片评分'!$B$5:$B$68,A13,'图片评分'!$M$5:$M$68,"不采用")</x:f>
        <x:v>0</x:v>
      </x:c>
      <x:c r="N13" s="20" t="n">
        <x:f>COUNTIFS('图片评分'!$B$5:$B$68,A13,'图片评分'!$M$5:$M$68,"采用")</x:f>
        <x:v>0</x:v>
      </x:c>
      <x:c r="O13" s="20" t="n">
        <x:f>IF(AND(D13="视觉",E13="真实运行",OR(F13="完成",F13="失败")),1,0)</x:f>
        <x:v>0</x:v>
      </x:c>
      <x:c r="P13" s="10" t="str">
        <x:f>IF(F13="未执行","未执行",IF(F13="阻塞","阻塞",IF(OR(E13="",G13="",H13=""),"待补运行证据",IF(D13="链路",IF(L13="","待评审",IF(L13="合格","链路合格","链路不合格")),IF(F13="失败","失败",IF(OR(I13="",I13&lt;2),"不足两张，检查交付",IF(M13&lt;I13,"待评审",IF(M13&gt;I13,"数量不一致",IF(N13&gt;0,"有可采用","无可采用")))))))))</x:f>
        <x:v>未执行</x:v>
      </x:c>
      <x:c r="Q13" s="17"/>
    </x:row>
    <x:row r="14" ht="52" customHeight="1">
      <x:c r="A14" s="9" t="str">
        <x:v>A-C10</x:v>
      </x:c>
      <x:c r="B14" s="9" t="str">
        <x:v>C10</x:v>
      </x:c>
      <x:c r="C14" s="9" t="str">
        <x:v>A</x:v>
      </x:c>
      <x:c r="D14" s="9" t="str">
        <x:v>视觉</x:v>
      </x:c>
      <x:c r="E14" s="17"/>
      <x:c r="F14" s="17" t="str">
        <x:v>未执行</x:v>
      </x:c>
      <x:c r="G14" s="17"/>
      <x:c r="H14" s="17"/>
      <x:c r="I14" s="19"/>
      <x:c r="J14" s="18"/>
      <x:c r="K14" s="18"/>
      <x:c r="L14" s="17"/>
      <x:c r="M14" s="21" t="n">
        <x:f>COUNTIFS('图片评分'!$B$5:$B$68,A14,'图片评分'!$M$5:$M$68,"采用")+COUNTIFS('图片评分'!$B$5:$B$68,A14,'图片评分'!$M$5:$M$68,"不采用")</x:f>
        <x:v>0</x:v>
      </x:c>
      <x:c r="N14" s="21" t="n">
        <x:f>COUNTIFS('图片评分'!$B$5:$B$68,A14,'图片评分'!$M$5:$M$68,"采用")</x:f>
        <x:v>0</x:v>
      </x:c>
      <x:c r="O14" s="21" t="n">
        <x:f>IF(AND(D14="视觉",E14="真实运行",OR(F14="完成",F14="失败")),1,0)</x:f>
        <x:v>0</x:v>
      </x:c>
      <x:c r="P14" s="9" t="str">
        <x:f>IF(F14="未执行","未执行",IF(F14="阻塞","阻塞",IF(OR(E14="",G14="",H14=""),"待补运行证据",IF(D14="链路",IF(L14="","待评审",IF(L14="合格","链路合格","链路不合格")),IF(F14="失败","失败",IF(OR(I14="",I14&lt;2),"不足两张，检查交付",IF(M14&lt;I14,"待评审",IF(M14&gt;I14,"数量不一致",IF(N14&gt;0,"有可采用","无可采用")))))))))</x:f>
        <x:v>未执行</x:v>
      </x:c>
      <x:c r="Q14" s="17"/>
    </x:row>
    <x:row r="15" ht="52" customHeight="1">
      <x:c r="A15" s="10" t="str">
        <x:v>A-C11</x:v>
      </x:c>
      <x:c r="B15" s="10" t="str">
        <x:v>C11</x:v>
      </x:c>
      <x:c r="C15" s="10" t="str">
        <x:v>A</x:v>
      </x:c>
      <x:c r="D15" s="10" t="str">
        <x:v>视觉</x:v>
      </x:c>
      <x:c r="E15" s="17"/>
      <x:c r="F15" s="17" t="str">
        <x:v>未执行</x:v>
      </x:c>
      <x:c r="G15" s="17"/>
      <x:c r="H15" s="17"/>
      <x:c r="I15" s="19"/>
      <x:c r="J15" s="18"/>
      <x:c r="K15" s="18"/>
      <x:c r="L15" s="17"/>
      <x:c r="M15" s="20" t="n">
        <x:f>COUNTIFS('图片评分'!$B$5:$B$68,A15,'图片评分'!$M$5:$M$68,"采用")+COUNTIFS('图片评分'!$B$5:$B$68,A15,'图片评分'!$M$5:$M$68,"不采用")</x:f>
        <x:v>0</x:v>
      </x:c>
      <x:c r="N15" s="20" t="n">
        <x:f>COUNTIFS('图片评分'!$B$5:$B$68,A15,'图片评分'!$M$5:$M$68,"采用")</x:f>
        <x:v>0</x:v>
      </x:c>
      <x:c r="O15" s="20" t="n">
        <x:f>IF(AND(D15="视觉",E15="真实运行",OR(F15="完成",F15="失败")),1,0)</x:f>
        <x:v>0</x:v>
      </x:c>
      <x:c r="P15" s="10" t="str">
        <x:f>IF(F15="未执行","未执行",IF(F15="阻塞","阻塞",IF(OR(E15="",G15="",H15=""),"待补运行证据",IF(D15="链路",IF(L15="","待评审",IF(L15="合格","链路合格","链路不合格")),IF(F15="失败","失败",IF(OR(I15="",I15&lt;2),"不足两张，检查交付",IF(M15&lt;I15,"待评审",IF(M15&gt;I15,"数量不一致",IF(N15&gt;0,"有可采用","无可采用")))))))))</x:f>
        <x:v>未执行</x:v>
      </x:c>
      <x:c r="Q15" s="17"/>
    </x:row>
    <x:row r="16" ht="52" customHeight="1">
      <x:c r="A16" s="9" t="str">
        <x:v>A-C12</x:v>
      </x:c>
      <x:c r="B16" s="9" t="str">
        <x:v>C12</x:v>
      </x:c>
      <x:c r="C16" s="9" t="str">
        <x:v>A</x:v>
      </x:c>
      <x:c r="D16" s="9" t="str">
        <x:v>视觉</x:v>
      </x:c>
      <x:c r="E16" s="17"/>
      <x:c r="F16" s="17" t="str">
        <x:v>未执行</x:v>
      </x:c>
      <x:c r="G16" s="17"/>
      <x:c r="H16" s="17"/>
      <x:c r="I16" s="19"/>
      <x:c r="J16" s="18"/>
      <x:c r="K16" s="18"/>
      <x:c r="L16" s="17"/>
      <x:c r="M16" s="21" t="n">
        <x:f>COUNTIFS('图片评分'!$B$5:$B$68,A16,'图片评分'!$M$5:$M$68,"采用")+COUNTIFS('图片评分'!$B$5:$B$68,A16,'图片评分'!$M$5:$M$68,"不采用")</x:f>
        <x:v>0</x:v>
      </x:c>
      <x:c r="N16" s="21" t="n">
        <x:f>COUNTIFS('图片评分'!$B$5:$B$68,A16,'图片评分'!$M$5:$M$68,"采用")</x:f>
        <x:v>0</x:v>
      </x:c>
      <x:c r="O16" s="21" t="n">
        <x:f>IF(AND(D16="视觉",E16="真实运行",OR(F16="完成",F16="失败")),1,0)</x:f>
        <x:v>0</x:v>
      </x:c>
      <x:c r="P16" s="9" t="str">
        <x:f>IF(F16="未执行","未执行",IF(F16="阻塞","阻塞",IF(OR(E16="",G16="",H16=""),"待补运行证据",IF(D16="链路",IF(L16="","待评审",IF(L16="合格","链路合格","链路不合格")),IF(F16="失败","失败",IF(OR(I16="",I16&lt;2),"不足两张，检查交付",IF(M16&lt;I16,"待评审",IF(M16&gt;I16,"数量不一致",IF(N16&gt;0,"有可采用","无可采用")))))))))</x:f>
        <x:v>未执行</x:v>
      </x:c>
      <x:c r="Q16" s="17"/>
    </x:row>
    <x:row r="17" ht="52" customHeight="1">
      <x:c r="A17" s="10" t="str">
        <x:v>A-C13</x:v>
      </x:c>
      <x:c r="B17" s="10" t="str">
        <x:v>C13</x:v>
      </x:c>
      <x:c r="C17" s="10" t="str">
        <x:v>A</x:v>
      </x:c>
      <x:c r="D17" s="10" t="str">
        <x:v>视觉</x:v>
      </x:c>
      <x:c r="E17" s="17"/>
      <x:c r="F17" s="17" t="str">
        <x:v>未执行</x:v>
      </x:c>
      <x:c r="G17" s="17"/>
      <x:c r="H17" s="17"/>
      <x:c r="I17" s="19"/>
      <x:c r="J17" s="18"/>
      <x:c r="K17" s="18"/>
      <x:c r="L17" s="17"/>
      <x:c r="M17" s="20" t="n">
        <x:f>COUNTIFS('图片评分'!$B$5:$B$68,A17,'图片评分'!$M$5:$M$68,"采用")+COUNTIFS('图片评分'!$B$5:$B$68,A17,'图片评分'!$M$5:$M$68,"不采用")</x:f>
        <x:v>0</x:v>
      </x:c>
      <x:c r="N17" s="20" t="n">
        <x:f>COUNTIFS('图片评分'!$B$5:$B$68,A17,'图片评分'!$M$5:$M$68,"采用")</x:f>
        <x:v>0</x:v>
      </x:c>
      <x:c r="O17" s="20" t="n">
        <x:f>IF(AND(D17="视觉",E17="真实运行",OR(F17="完成",F17="失败")),1,0)</x:f>
        <x:v>0</x:v>
      </x:c>
      <x:c r="P17" s="10" t="str">
        <x:f>IF(F17="未执行","未执行",IF(F17="阻塞","阻塞",IF(OR(E17="",G17="",H17=""),"待补运行证据",IF(D17="链路",IF(L17="","待评审",IF(L17="合格","链路合格","链路不合格")),IF(F17="失败","失败",IF(OR(I17="",I17&lt;2),"不足两张，检查交付",IF(M17&lt;I17,"待评审",IF(M17&gt;I17,"数量不一致",IF(N17&gt;0,"有可采用","无可采用")))))))))</x:f>
        <x:v>未执行</x:v>
      </x:c>
      <x:c r="Q17" s="17"/>
    </x:row>
    <x:row r="18" ht="52" customHeight="1">
      <x:c r="A18" s="9" t="str">
        <x:v>A-C14</x:v>
      </x:c>
      <x:c r="B18" s="9" t="str">
        <x:v>C14</x:v>
      </x:c>
      <x:c r="C18" s="9" t="str">
        <x:v>A</x:v>
      </x:c>
      <x:c r="D18" s="9" t="str">
        <x:v>视觉</x:v>
      </x:c>
      <x:c r="E18" s="17"/>
      <x:c r="F18" s="17" t="str">
        <x:v>未执行</x:v>
      </x:c>
      <x:c r="G18" s="17"/>
      <x:c r="H18" s="17"/>
      <x:c r="I18" s="19"/>
      <x:c r="J18" s="18"/>
      <x:c r="K18" s="18"/>
      <x:c r="L18" s="17"/>
      <x:c r="M18" s="21" t="n">
        <x:f>COUNTIFS('图片评分'!$B$5:$B$68,A18,'图片评分'!$M$5:$M$68,"采用")+COUNTIFS('图片评分'!$B$5:$B$68,A18,'图片评分'!$M$5:$M$68,"不采用")</x:f>
        <x:v>0</x:v>
      </x:c>
      <x:c r="N18" s="21" t="n">
        <x:f>COUNTIFS('图片评分'!$B$5:$B$68,A18,'图片评分'!$M$5:$M$68,"采用")</x:f>
        <x:v>0</x:v>
      </x:c>
      <x:c r="O18" s="21" t="n">
        <x:f>IF(AND(D18="视觉",E18="真实运行",OR(F18="完成",F18="失败")),1,0)</x:f>
        <x:v>0</x:v>
      </x:c>
      <x:c r="P18" s="9" t="str">
        <x:f>IF(F18="未执行","未执行",IF(F18="阻塞","阻塞",IF(OR(E18="",G18="",H18=""),"待补运行证据",IF(D18="链路",IF(L18="","待评审",IF(L18="合格","链路合格","链路不合格")),IF(F18="失败","失败",IF(OR(I18="",I18&lt;2),"不足两张，检查交付",IF(M18&lt;I18,"待评审",IF(M18&gt;I18,"数量不一致",IF(N18&gt;0,"有可采用","无可采用")))))))))</x:f>
        <x:v>未执行</x:v>
      </x:c>
      <x:c r="Q18" s="17"/>
    </x:row>
    <x:row r="19" ht="52" customHeight="1">
      <x:c r="A19" s="10" t="str">
        <x:v>A-C15</x:v>
      </x:c>
      <x:c r="B19" s="10" t="str">
        <x:v>C15</x:v>
      </x:c>
      <x:c r="C19" s="10" t="str">
        <x:v>A</x:v>
      </x:c>
      <x:c r="D19" s="10" t="str">
        <x:v>视觉</x:v>
      </x:c>
      <x:c r="E19" s="17"/>
      <x:c r="F19" s="17" t="str">
        <x:v>未执行</x:v>
      </x:c>
      <x:c r="G19" s="17"/>
      <x:c r="H19" s="17"/>
      <x:c r="I19" s="19"/>
      <x:c r="J19" s="18"/>
      <x:c r="K19" s="18"/>
      <x:c r="L19" s="17"/>
      <x:c r="M19" s="20" t="n">
        <x:f>COUNTIFS('图片评分'!$B$5:$B$68,A19,'图片评分'!$M$5:$M$68,"采用")+COUNTIFS('图片评分'!$B$5:$B$68,A19,'图片评分'!$M$5:$M$68,"不采用")</x:f>
        <x:v>0</x:v>
      </x:c>
      <x:c r="N19" s="20" t="n">
        <x:f>COUNTIFS('图片评分'!$B$5:$B$68,A19,'图片评分'!$M$5:$M$68,"采用")</x:f>
        <x:v>0</x:v>
      </x:c>
      <x:c r="O19" s="20" t="n">
        <x:f>IF(AND(D19="视觉",E19="真实运行",OR(F19="完成",F19="失败")),1,0)</x:f>
        <x:v>0</x:v>
      </x:c>
      <x:c r="P19" s="10" t="str">
        <x:f>IF(F19="未执行","未执行",IF(F19="阻塞","阻塞",IF(OR(E19="",G19="",H19=""),"待补运行证据",IF(D19="链路",IF(L19="","待评审",IF(L19="合格","链路合格","链路不合格")),IF(F19="失败","失败",IF(OR(I19="",I19&lt;2),"不足两张，检查交付",IF(M19&lt;I19,"待评审",IF(M19&gt;I19,"数量不一致",IF(N19&gt;0,"有可采用","无可采用")))))))))</x:f>
        <x:v>未执行</x:v>
      </x:c>
      <x:c r="Q19" s="17"/>
    </x:row>
    <x:row r="20" ht="52" customHeight="1">
      <x:c r="A20" s="9" t="str">
        <x:v>A-C16</x:v>
      </x:c>
      <x:c r="B20" s="9" t="str">
        <x:v>C16</x:v>
      </x:c>
      <x:c r="C20" s="9" t="str">
        <x:v>A</x:v>
      </x:c>
      <x:c r="D20" s="9" t="str">
        <x:v>视觉</x:v>
      </x:c>
      <x:c r="E20" s="17"/>
      <x:c r="F20" s="17" t="str">
        <x:v>未执行</x:v>
      </x:c>
      <x:c r="G20" s="17"/>
      <x:c r="H20" s="17"/>
      <x:c r="I20" s="19"/>
      <x:c r="J20" s="18"/>
      <x:c r="K20" s="18"/>
      <x:c r="L20" s="17"/>
      <x:c r="M20" s="21" t="n">
        <x:f>COUNTIFS('图片评分'!$B$5:$B$68,A20,'图片评分'!$M$5:$M$68,"采用")+COUNTIFS('图片评分'!$B$5:$B$68,A20,'图片评分'!$M$5:$M$68,"不采用")</x:f>
        <x:v>0</x:v>
      </x:c>
      <x:c r="N20" s="21" t="n">
        <x:f>COUNTIFS('图片评分'!$B$5:$B$68,A20,'图片评分'!$M$5:$M$68,"采用")</x:f>
        <x:v>0</x:v>
      </x:c>
      <x:c r="O20" s="21" t="n">
        <x:f>IF(AND(D20="视觉",E20="真实运行",OR(F20="完成",F20="失败")),1,0)</x:f>
        <x:v>0</x:v>
      </x:c>
      <x:c r="P20" s="9" t="str">
        <x:f>IF(F20="未执行","未执行",IF(F20="阻塞","阻塞",IF(OR(E20="",G20="",H20=""),"待补运行证据",IF(D20="链路",IF(L20="","待评审",IF(L20="合格","链路合格","链路不合格")),IF(F20="失败","失败",IF(OR(I20="",I20&lt;2),"不足两张，检查交付",IF(M20&lt;I20,"待评审",IF(M20&gt;I20,"数量不一致",IF(N20&gt;0,"有可采用","无可采用")))))))))</x:f>
        <x:v>未执行</x:v>
      </x:c>
      <x:c r="Q20" s="17"/>
    </x:row>
    <x:row r="21" ht="52" customHeight="1">
      <x:c r="A21" s="10" t="str">
        <x:v>A-C17</x:v>
      </x:c>
      <x:c r="B21" s="10" t="str">
        <x:v>C17</x:v>
      </x:c>
      <x:c r="C21" s="10" t="str">
        <x:v>A</x:v>
      </x:c>
      <x:c r="D21" s="10" t="str">
        <x:v>链路</x:v>
      </x:c>
      <x:c r="E21" s="17"/>
      <x:c r="F21" s="17" t="str">
        <x:v>未执行</x:v>
      </x:c>
      <x:c r="G21" s="17"/>
      <x:c r="H21" s="17"/>
      <x:c r="I21" s="19"/>
      <x:c r="J21" s="18"/>
      <x:c r="K21" s="18"/>
      <x:c r="L21" s="17"/>
      <x:c r="M21" s="20" t="n">
        <x:f>COUNTIFS('图片评分'!$B$5:$B$68,A21,'图片评分'!$M$5:$M$68,"采用")+COUNTIFS('图片评分'!$B$5:$B$68,A21,'图片评分'!$M$5:$M$68,"不采用")</x:f>
        <x:v>0</x:v>
      </x:c>
      <x:c r="N21" s="20" t="n">
        <x:f>COUNTIFS('图片评分'!$B$5:$B$68,A21,'图片评分'!$M$5:$M$68,"采用")</x:f>
        <x:v>0</x:v>
      </x:c>
      <x:c r="O21" s="20" t="n">
        <x:f>IF(AND(D21="视觉",E21="真实运行",OR(F21="完成",F21="失败")),1,0)</x:f>
        <x:v>0</x:v>
      </x:c>
      <x:c r="P21" s="10" t="str">
        <x:f>IF(F21="未执行","未执行",IF(F21="阻塞","阻塞",IF(OR(E21="",G21="",H21=""),"待补运行证据",IF(D21="链路",IF(L21="","待评审",IF(L21="合格","链路合格","链路不合格")),IF(F21="失败","失败",IF(OR(I21="",I21&lt;2),"不足两张，检查交付",IF(M21&lt;I21,"待评审",IF(M21&gt;I21,"数量不一致",IF(N21&gt;0,"有可采用","无可采用")))))))))</x:f>
        <x:v>未执行</x:v>
      </x:c>
      <x:c r="Q21" s="17"/>
    </x:row>
    <x:row r="22" ht="52" customHeight="1">
      <x:c r="A22" s="9" t="str">
        <x:v>A-C18</x:v>
      </x:c>
      <x:c r="B22" s="9" t="str">
        <x:v>C18</x:v>
      </x:c>
      <x:c r="C22" s="9" t="str">
        <x:v>A</x:v>
      </x:c>
      <x:c r="D22" s="9" t="str">
        <x:v>链路</x:v>
      </x:c>
      <x:c r="E22" s="17"/>
      <x:c r="F22" s="17" t="str">
        <x:v>未执行</x:v>
      </x:c>
      <x:c r="G22" s="17"/>
      <x:c r="H22" s="17"/>
      <x:c r="I22" s="19"/>
      <x:c r="J22" s="18"/>
      <x:c r="K22" s="18"/>
      <x:c r="L22" s="17"/>
      <x:c r="M22" s="21" t="n">
        <x:f>COUNTIFS('图片评分'!$B$5:$B$68,A22,'图片评分'!$M$5:$M$68,"采用")+COUNTIFS('图片评分'!$B$5:$B$68,A22,'图片评分'!$M$5:$M$68,"不采用")</x:f>
        <x:v>0</x:v>
      </x:c>
      <x:c r="N22" s="21" t="n">
        <x:f>COUNTIFS('图片评分'!$B$5:$B$68,A22,'图片评分'!$M$5:$M$68,"采用")</x:f>
        <x:v>0</x:v>
      </x:c>
      <x:c r="O22" s="21" t="n">
        <x:f>IF(AND(D22="视觉",E22="真实运行",OR(F22="完成",F22="失败")),1,0)</x:f>
        <x:v>0</x:v>
      </x:c>
      <x:c r="P22" s="9" t="str">
        <x:f>IF(F22="未执行","未执行",IF(F22="阻塞","阻塞",IF(OR(E22="",G22="",H22=""),"待补运行证据",IF(D22="链路",IF(L22="","待评审",IF(L22="合格","链路合格","链路不合格")),IF(F22="失败","失败",IF(OR(I22="",I22&lt;2),"不足两张，检查交付",IF(M22&lt;I22,"待评审",IF(M22&gt;I22,"数量不一致",IF(N22&gt;0,"有可采用","无可采用")))))))))</x:f>
        <x:v>未执行</x:v>
      </x:c>
      <x:c r="Q22" s="17"/>
    </x:row>
    <x:row r="23" ht="52" customHeight="1">
      <x:c r="A23" s="10" t="str">
        <x:v>A-C19</x:v>
      </x:c>
      <x:c r="B23" s="10" t="str">
        <x:v>C19</x:v>
      </x:c>
      <x:c r="C23" s="10" t="str">
        <x:v>A</x:v>
      </x:c>
      <x:c r="D23" s="10" t="str">
        <x:v>链路</x:v>
      </x:c>
      <x:c r="E23" s="17"/>
      <x:c r="F23" s="17" t="str">
        <x:v>未执行</x:v>
      </x:c>
      <x:c r="G23" s="17"/>
      <x:c r="H23" s="17"/>
      <x:c r="I23" s="19"/>
      <x:c r="J23" s="18"/>
      <x:c r="K23" s="18"/>
      <x:c r="L23" s="17"/>
      <x:c r="M23" s="20" t="n">
        <x:f>COUNTIFS('图片评分'!$B$5:$B$68,A23,'图片评分'!$M$5:$M$68,"采用")+COUNTIFS('图片评分'!$B$5:$B$68,A23,'图片评分'!$M$5:$M$68,"不采用")</x:f>
        <x:v>0</x:v>
      </x:c>
      <x:c r="N23" s="20" t="n">
        <x:f>COUNTIFS('图片评分'!$B$5:$B$68,A23,'图片评分'!$M$5:$M$68,"采用")</x:f>
        <x:v>0</x:v>
      </x:c>
      <x:c r="O23" s="20" t="n">
        <x:f>IF(AND(D23="视觉",E23="真实运行",OR(F23="完成",F23="失败")),1,0)</x:f>
        <x:v>0</x:v>
      </x:c>
      <x:c r="P23" s="10" t="str">
        <x:f>IF(F23="未执行","未执行",IF(F23="阻塞","阻塞",IF(OR(E23="",G23="",H23=""),"待补运行证据",IF(D23="链路",IF(L23="","待评审",IF(L23="合格","链路合格","链路不合格")),IF(F23="失败","失败",IF(OR(I23="",I23&lt;2),"不足两张，检查交付",IF(M23&lt;I23,"待评审",IF(M23&gt;I23,"数量不一致",IF(N23&gt;0,"有可采用","无可采用")))))))))</x:f>
        <x:v>未执行</x:v>
      </x:c>
      <x:c r="Q23" s="17"/>
    </x:row>
    <x:row r="24" ht="52" customHeight="1">
      <x:c r="A24" s="9" t="str">
        <x:v>A-C20</x:v>
      </x:c>
      <x:c r="B24" s="9" t="str">
        <x:v>C20</x:v>
      </x:c>
      <x:c r="C24" s="9" t="str">
        <x:v>A</x:v>
      </x:c>
      <x:c r="D24" s="9" t="str">
        <x:v>链路</x:v>
      </x:c>
      <x:c r="E24" s="17"/>
      <x:c r="F24" s="17" t="str">
        <x:v>未执行</x:v>
      </x:c>
      <x:c r="G24" s="17"/>
      <x:c r="H24" s="17"/>
      <x:c r="I24" s="19"/>
      <x:c r="J24" s="18"/>
      <x:c r="K24" s="18"/>
      <x:c r="L24" s="17"/>
      <x:c r="M24" s="21" t="n">
        <x:f>COUNTIFS('图片评分'!$B$5:$B$68,A24,'图片评分'!$M$5:$M$68,"采用")+COUNTIFS('图片评分'!$B$5:$B$68,A24,'图片评分'!$M$5:$M$68,"不采用")</x:f>
        <x:v>0</x:v>
      </x:c>
      <x:c r="N24" s="21" t="n">
        <x:f>COUNTIFS('图片评分'!$B$5:$B$68,A24,'图片评分'!$M$5:$M$68,"采用")</x:f>
        <x:v>0</x:v>
      </x:c>
      <x:c r="O24" s="21" t="n">
        <x:f>IF(AND(D24="视觉",E24="真实运行",OR(F24="完成",F24="失败")),1,0)</x:f>
        <x:v>0</x:v>
      </x:c>
      <x:c r="P24" s="9" t="str">
        <x:f>IF(F24="未执行","未执行",IF(F24="阻塞","阻塞",IF(OR(E24="",G24="",H24=""),"待补运行证据",IF(D24="链路",IF(L24="","待评审",IF(L24="合格","链路合格","链路不合格")),IF(F24="失败","失败",IF(OR(I24="",I24&lt;2),"不足两张，检查交付",IF(M24&lt;I24,"待评审",IF(M24&gt;I24,"数量不一致",IF(N24&gt;0,"有可采用","无可采用")))))))))</x:f>
        <x:v>未执行</x:v>
      </x:c>
      <x:c r="Q24" s="17"/>
    </x:row>
    <x:row r="25" ht="52" customHeight="1">
      <x:c r="A25" s="10" t="str">
        <x:v>B-C01</x:v>
      </x:c>
      <x:c r="B25" s="10" t="str">
        <x:v>C01</x:v>
      </x:c>
      <x:c r="C25" s="10" t="str">
        <x:v>B</x:v>
      </x:c>
      <x:c r="D25" s="10" t="str">
        <x:v>视觉</x:v>
      </x:c>
      <x:c r="E25" s="17"/>
      <x:c r="F25" s="17" t="str">
        <x:v>未执行</x:v>
      </x:c>
      <x:c r="G25" s="17"/>
      <x:c r="H25" s="17"/>
      <x:c r="I25" s="19"/>
      <x:c r="J25" s="18"/>
      <x:c r="K25" s="18"/>
      <x:c r="L25" s="17"/>
      <x:c r="M25" s="20" t="n">
        <x:f>COUNTIFS('图片评分'!$B$5:$B$68,A25,'图片评分'!$M$5:$M$68,"采用")+COUNTIFS('图片评分'!$B$5:$B$68,A25,'图片评分'!$M$5:$M$68,"不采用")</x:f>
        <x:v>0</x:v>
      </x:c>
      <x:c r="N25" s="20" t="n">
        <x:f>COUNTIFS('图片评分'!$B$5:$B$68,A25,'图片评分'!$M$5:$M$68,"采用")</x:f>
        <x:v>0</x:v>
      </x:c>
      <x:c r="O25" s="20" t="n">
        <x:f>IF(AND(D25="视觉",E25="真实运行",OR(F25="完成",F25="失败")),1,0)</x:f>
        <x:v>0</x:v>
      </x:c>
      <x:c r="P25" s="10" t="str">
        <x:f>IF(F25="未执行","未执行",IF(F25="阻塞","阻塞",IF(OR(E25="",G25="",H25=""),"待补运行证据",IF(D25="链路",IF(L25="","待评审",IF(L25="合格","链路合格","链路不合格")),IF(F25="失败","失败",IF(OR(I25="",I25&lt;2),"不足两张，检查交付",IF(M25&lt;I25,"待评审",IF(M25&gt;I25,"数量不一致",IF(N25&gt;0,"有可采用","无可采用")))))))))</x:f>
        <x:v>未执行</x:v>
      </x:c>
      <x:c r="Q25" s="17"/>
    </x:row>
    <x:row r="26" ht="52" customHeight="1">
      <x:c r="A26" s="9" t="str">
        <x:v>B-C02</x:v>
      </x:c>
      <x:c r="B26" s="9" t="str">
        <x:v>C02</x:v>
      </x:c>
      <x:c r="C26" s="9" t="str">
        <x:v>B</x:v>
      </x:c>
      <x:c r="D26" s="9" t="str">
        <x:v>视觉</x:v>
      </x:c>
      <x:c r="E26" s="17"/>
      <x:c r="F26" s="17" t="str">
        <x:v>未执行</x:v>
      </x:c>
      <x:c r="G26" s="17"/>
      <x:c r="H26" s="17"/>
      <x:c r="I26" s="19"/>
      <x:c r="J26" s="18"/>
      <x:c r="K26" s="18"/>
      <x:c r="L26" s="17"/>
      <x:c r="M26" s="21" t="n">
        <x:f>COUNTIFS('图片评分'!$B$5:$B$68,A26,'图片评分'!$M$5:$M$68,"采用")+COUNTIFS('图片评分'!$B$5:$B$68,A26,'图片评分'!$M$5:$M$68,"不采用")</x:f>
        <x:v>0</x:v>
      </x:c>
      <x:c r="N26" s="21" t="n">
        <x:f>COUNTIFS('图片评分'!$B$5:$B$68,A26,'图片评分'!$M$5:$M$68,"采用")</x:f>
        <x:v>0</x:v>
      </x:c>
      <x:c r="O26" s="21" t="n">
        <x:f>IF(AND(D26="视觉",E26="真实运行",OR(F26="完成",F26="失败")),1,0)</x:f>
        <x:v>0</x:v>
      </x:c>
      <x:c r="P26" s="9" t="str">
        <x:f>IF(F26="未执行","未执行",IF(F26="阻塞","阻塞",IF(OR(E26="",G26="",H26=""),"待补运行证据",IF(D26="链路",IF(L26="","待评审",IF(L26="合格","链路合格","链路不合格")),IF(F26="失败","失败",IF(OR(I26="",I26&lt;2),"不足两张，检查交付",IF(M26&lt;I26,"待评审",IF(M26&gt;I26,"数量不一致",IF(N26&gt;0,"有可采用","无可采用")))))))))</x:f>
        <x:v>未执行</x:v>
      </x:c>
      <x:c r="Q26" s="17"/>
    </x:row>
    <x:row r="27" ht="52" customHeight="1">
      <x:c r="A27" s="10" t="str">
        <x:v>B-C03</x:v>
      </x:c>
      <x:c r="B27" s="10" t="str">
        <x:v>C03</x:v>
      </x:c>
      <x:c r="C27" s="10" t="str">
        <x:v>B</x:v>
      </x:c>
      <x:c r="D27" s="10" t="str">
        <x:v>视觉</x:v>
      </x:c>
      <x:c r="E27" s="17"/>
      <x:c r="F27" s="17" t="str">
        <x:v>未执行</x:v>
      </x:c>
      <x:c r="G27" s="17"/>
      <x:c r="H27" s="17"/>
      <x:c r="I27" s="19"/>
      <x:c r="J27" s="18"/>
      <x:c r="K27" s="18"/>
      <x:c r="L27" s="17"/>
      <x:c r="M27" s="20" t="n">
        <x:f>COUNTIFS('图片评分'!$B$5:$B$68,A27,'图片评分'!$M$5:$M$68,"采用")+COUNTIFS('图片评分'!$B$5:$B$68,A27,'图片评分'!$M$5:$M$68,"不采用")</x:f>
        <x:v>0</x:v>
      </x:c>
      <x:c r="N27" s="20" t="n">
        <x:f>COUNTIFS('图片评分'!$B$5:$B$68,A27,'图片评分'!$M$5:$M$68,"采用")</x:f>
        <x:v>0</x:v>
      </x:c>
      <x:c r="O27" s="20" t="n">
        <x:f>IF(AND(D27="视觉",E27="真实运行",OR(F27="完成",F27="失败")),1,0)</x:f>
        <x:v>0</x:v>
      </x:c>
      <x:c r="P27" s="10" t="str">
        <x:f>IF(F27="未执行","未执行",IF(F27="阻塞","阻塞",IF(OR(E27="",G27="",H27=""),"待补运行证据",IF(D27="链路",IF(L27="","待评审",IF(L27="合格","链路合格","链路不合格")),IF(F27="失败","失败",IF(OR(I27="",I27&lt;2),"不足两张，检查交付",IF(M27&lt;I27,"待评审",IF(M27&gt;I27,"数量不一致",IF(N27&gt;0,"有可采用","无可采用")))))))))</x:f>
        <x:v>未执行</x:v>
      </x:c>
      <x:c r="Q27" s="17"/>
    </x:row>
    <x:row r="28" ht="52" customHeight="1">
      <x:c r="A28" s="9" t="str">
        <x:v>B-C04</x:v>
      </x:c>
      <x:c r="B28" s="9" t="str">
        <x:v>C04</x:v>
      </x:c>
      <x:c r="C28" s="9" t="str">
        <x:v>B</x:v>
      </x:c>
      <x:c r="D28" s="9" t="str">
        <x:v>视觉</x:v>
      </x:c>
      <x:c r="E28" s="17"/>
      <x:c r="F28" s="17" t="str">
        <x:v>未执行</x:v>
      </x:c>
      <x:c r="G28" s="17"/>
      <x:c r="H28" s="17"/>
      <x:c r="I28" s="19"/>
      <x:c r="J28" s="18"/>
      <x:c r="K28" s="18"/>
      <x:c r="L28" s="17"/>
      <x:c r="M28" s="21" t="n">
        <x:f>COUNTIFS('图片评分'!$B$5:$B$68,A28,'图片评分'!$M$5:$M$68,"采用")+COUNTIFS('图片评分'!$B$5:$B$68,A28,'图片评分'!$M$5:$M$68,"不采用")</x:f>
        <x:v>0</x:v>
      </x:c>
      <x:c r="N28" s="21" t="n">
        <x:f>COUNTIFS('图片评分'!$B$5:$B$68,A28,'图片评分'!$M$5:$M$68,"采用")</x:f>
        <x:v>0</x:v>
      </x:c>
      <x:c r="O28" s="21" t="n">
        <x:f>IF(AND(D28="视觉",E28="真实运行",OR(F28="完成",F28="失败")),1,0)</x:f>
        <x:v>0</x:v>
      </x:c>
      <x:c r="P28" s="9" t="str">
        <x:f>IF(F28="未执行","未执行",IF(F28="阻塞","阻塞",IF(OR(E28="",G28="",H28=""),"待补运行证据",IF(D28="链路",IF(L28="","待评审",IF(L28="合格","链路合格","链路不合格")),IF(F28="失败","失败",IF(OR(I28="",I28&lt;2),"不足两张，检查交付",IF(M28&lt;I28,"待评审",IF(M28&gt;I28,"数量不一致",IF(N28&gt;0,"有可采用","无可采用")))))))))</x:f>
        <x:v>未执行</x:v>
      </x:c>
      <x:c r="Q28" s="17"/>
    </x:row>
    <x:row r="29" ht="52" customHeight="1">
      <x:c r="A29" s="10" t="str">
        <x:v>B-C05</x:v>
      </x:c>
      <x:c r="B29" s="10" t="str">
        <x:v>C05</x:v>
      </x:c>
      <x:c r="C29" s="10" t="str">
        <x:v>B</x:v>
      </x:c>
      <x:c r="D29" s="10" t="str">
        <x:v>视觉</x:v>
      </x:c>
      <x:c r="E29" s="17"/>
      <x:c r="F29" s="17" t="str">
        <x:v>未执行</x:v>
      </x:c>
      <x:c r="G29" s="17"/>
      <x:c r="H29" s="17"/>
      <x:c r="I29" s="19"/>
      <x:c r="J29" s="18"/>
      <x:c r="K29" s="18"/>
      <x:c r="L29" s="17"/>
      <x:c r="M29" s="20" t="n">
        <x:f>COUNTIFS('图片评分'!$B$5:$B$68,A29,'图片评分'!$M$5:$M$68,"采用")+COUNTIFS('图片评分'!$B$5:$B$68,A29,'图片评分'!$M$5:$M$68,"不采用")</x:f>
        <x:v>0</x:v>
      </x:c>
      <x:c r="N29" s="20" t="n">
        <x:f>COUNTIFS('图片评分'!$B$5:$B$68,A29,'图片评分'!$M$5:$M$68,"采用")</x:f>
        <x:v>0</x:v>
      </x:c>
      <x:c r="O29" s="20" t="n">
        <x:f>IF(AND(D29="视觉",E29="真实运行",OR(F29="完成",F29="失败")),1,0)</x:f>
        <x:v>0</x:v>
      </x:c>
      <x:c r="P29" s="10" t="str">
        <x:f>IF(F29="未执行","未执行",IF(F29="阻塞","阻塞",IF(OR(E29="",G29="",H29=""),"待补运行证据",IF(D29="链路",IF(L29="","待评审",IF(L29="合格","链路合格","链路不合格")),IF(F29="失败","失败",IF(OR(I29="",I29&lt;2),"不足两张，检查交付",IF(M29&lt;I29,"待评审",IF(M29&gt;I29,"数量不一致",IF(N29&gt;0,"有可采用","无可采用")))))))))</x:f>
        <x:v>未执行</x:v>
      </x:c>
      <x:c r="Q29" s="17"/>
    </x:row>
    <x:row r="30" ht="52" customHeight="1">
      <x:c r="A30" s="9" t="str">
        <x:v>B-C06</x:v>
      </x:c>
      <x:c r="B30" s="9" t="str">
        <x:v>C06</x:v>
      </x:c>
      <x:c r="C30" s="9" t="str">
        <x:v>B</x:v>
      </x:c>
      <x:c r="D30" s="9" t="str">
        <x:v>视觉</x:v>
      </x:c>
      <x:c r="E30" s="17"/>
      <x:c r="F30" s="17" t="str">
        <x:v>未执行</x:v>
      </x:c>
      <x:c r="G30" s="17"/>
      <x:c r="H30" s="17"/>
      <x:c r="I30" s="19"/>
      <x:c r="J30" s="18"/>
      <x:c r="K30" s="18"/>
      <x:c r="L30" s="17"/>
      <x:c r="M30" s="21" t="n">
        <x:f>COUNTIFS('图片评分'!$B$5:$B$68,A30,'图片评分'!$M$5:$M$68,"采用")+COUNTIFS('图片评分'!$B$5:$B$68,A30,'图片评分'!$M$5:$M$68,"不采用")</x:f>
        <x:v>0</x:v>
      </x:c>
      <x:c r="N30" s="21" t="n">
        <x:f>COUNTIFS('图片评分'!$B$5:$B$68,A30,'图片评分'!$M$5:$M$68,"采用")</x:f>
        <x:v>0</x:v>
      </x:c>
      <x:c r="O30" s="21" t="n">
        <x:f>IF(AND(D30="视觉",E30="真实运行",OR(F30="完成",F30="失败")),1,0)</x:f>
        <x:v>0</x:v>
      </x:c>
      <x:c r="P30" s="9" t="str">
        <x:f>IF(F30="未执行","未执行",IF(F30="阻塞","阻塞",IF(OR(E30="",G30="",H30=""),"待补运行证据",IF(D30="链路",IF(L30="","待评审",IF(L30="合格","链路合格","链路不合格")),IF(F30="失败","失败",IF(OR(I30="",I30&lt;2),"不足两张，检查交付",IF(M30&lt;I30,"待评审",IF(M30&gt;I30,"数量不一致",IF(N30&gt;0,"有可采用","无可采用")))))))))</x:f>
        <x:v>未执行</x:v>
      </x:c>
      <x:c r="Q30" s="17"/>
    </x:row>
    <x:row r="31" ht="52" customHeight="1">
      <x:c r="A31" s="10" t="str">
        <x:v>B-C07</x:v>
      </x:c>
      <x:c r="B31" s="10" t="str">
        <x:v>C07</x:v>
      </x:c>
      <x:c r="C31" s="10" t="str">
        <x:v>B</x:v>
      </x:c>
      <x:c r="D31" s="10" t="str">
        <x:v>视觉</x:v>
      </x:c>
      <x:c r="E31" s="17"/>
      <x:c r="F31" s="17" t="str">
        <x:v>未执行</x:v>
      </x:c>
      <x:c r="G31" s="17"/>
      <x:c r="H31" s="17"/>
      <x:c r="I31" s="19"/>
      <x:c r="J31" s="18"/>
      <x:c r="K31" s="18"/>
      <x:c r="L31" s="17"/>
      <x:c r="M31" s="20" t="n">
        <x:f>COUNTIFS('图片评分'!$B$5:$B$68,A31,'图片评分'!$M$5:$M$68,"采用")+COUNTIFS('图片评分'!$B$5:$B$68,A31,'图片评分'!$M$5:$M$68,"不采用")</x:f>
        <x:v>0</x:v>
      </x:c>
      <x:c r="N31" s="20" t="n">
        <x:f>COUNTIFS('图片评分'!$B$5:$B$68,A31,'图片评分'!$M$5:$M$68,"采用")</x:f>
        <x:v>0</x:v>
      </x:c>
      <x:c r="O31" s="20" t="n">
        <x:f>IF(AND(D31="视觉",E31="真实运行",OR(F31="完成",F31="失败")),1,0)</x:f>
        <x:v>0</x:v>
      </x:c>
      <x:c r="P31" s="10" t="str">
        <x:f>IF(F31="未执行","未执行",IF(F31="阻塞","阻塞",IF(OR(E31="",G31="",H31=""),"待补运行证据",IF(D31="链路",IF(L31="","待评审",IF(L31="合格","链路合格","链路不合格")),IF(F31="失败","失败",IF(OR(I31="",I31&lt;2),"不足两张，检查交付",IF(M31&lt;I31,"待评审",IF(M31&gt;I31,"数量不一致",IF(N31&gt;0,"有可采用","无可采用")))))))))</x:f>
        <x:v>未执行</x:v>
      </x:c>
      <x:c r="Q31" s="17"/>
    </x:row>
    <x:row r="32" ht="52" customHeight="1">
      <x:c r="A32" s="9" t="str">
        <x:v>B-C08</x:v>
      </x:c>
      <x:c r="B32" s="9" t="str">
        <x:v>C08</x:v>
      </x:c>
      <x:c r="C32" s="9" t="str">
        <x:v>B</x:v>
      </x:c>
      <x:c r="D32" s="9" t="str">
        <x:v>视觉</x:v>
      </x:c>
      <x:c r="E32" s="17"/>
      <x:c r="F32" s="17" t="str">
        <x:v>未执行</x:v>
      </x:c>
      <x:c r="G32" s="17"/>
      <x:c r="H32" s="17"/>
      <x:c r="I32" s="19"/>
      <x:c r="J32" s="18"/>
      <x:c r="K32" s="18"/>
      <x:c r="L32" s="17"/>
      <x:c r="M32" s="21" t="n">
        <x:f>COUNTIFS('图片评分'!$B$5:$B$68,A32,'图片评分'!$M$5:$M$68,"采用")+COUNTIFS('图片评分'!$B$5:$B$68,A32,'图片评分'!$M$5:$M$68,"不采用")</x:f>
        <x:v>0</x:v>
      </x:c>
      <x:c r="N32" s="21" t="n">
        <x:f>COUNTIFS('图片评分'!$B$5:$B$68,A32,'图片评分'!$M$5:$M$68,"采用")</x:f>
        <x:v>0</x:v>
      </x:c>
      <x:c r="O32" s="21" t="n">
        <x:f>IF(AND(D32="视觉",E32="真实运行",OR(F32="完成",F32="失败")),1,0)</x:f>
        <x:v>0</x:v>
      </x:c>
      <x:c r="P32" s="9" t="str">
        <x:f>IF(F32="未执行","未执行",IF(F32="阻塞","阻塞",IF(OR(E32="",G32="",H32=""),"待补运行证据",IF(D32="链路",IF(L32="","待评审",IF(L32="合格","链路合格","链路不合格")),IF(F32="失败","失败",IF(OR(I32="",I32&lt;2),"不足两张，检查交付",IF(M32&lt;I32,"待评审",IF(M32&gt;I32,"数量不一致",IF(N32&gt;0,"有可采用","无可采用")))))))))</x:f>
        <x:v>未执行</x:v>
      </x:c>
      <x:c r="Q32" s="17"/>
    </x:row>
    <x:row r="33" ht="52" customHeight="1">
      <x:c r="A33" s="10" t="str">
        <x:v>B-C09</x:v>
      </x:c>
      <x:c r="B33" s="10" t="str">
        <x:v>C09</x:v>
      </x:c>
      <x:c r="C33" s="10" t="str">
        <x:v>B</x:v>
      </x:c>
      <x:c r="D33" s="10" t="str">
        <x:v>视觉</x:v>
      </x:c>
      <x:c r="E33" s="17"/>
      <x:c r="F33" s="17" t="str">
        <x:v>未执行</x:v>
      </x:c>
      <x:c r="G33" s="17"/>
      <x:c r="H33" s="17"/>
      <x:c r="I33" s="19"/>
      <x:c r="J33" s="18"/>
      <x:c r="K33" s="18"/>
      <x:c r="L33" s="17"/>
      <x:c r="M33" s="20" t="n">
        <x:f>COUNTIFS('图片评分'!$B$5:$B$68,A33,'图片评分'!$M$5:$M$68,"采用")+COUNTIFS('图片评分'!$B$5:$B$68,A33,'图片评分'!$M$5:$M$68,"不采用")</x:f>
        <x:v>0</x:v>
      </x:c>
      <x:c r="N33" s="20" t="n">
        <x:f>COUNTIFS('图片评分'!$B$5:$B$68,A33,'图片评分'!$M$5:$M$68,"采用")</x:f>
        <x:v>0</x:v>
      </x:c>
      <x:c r="O33" s="20" t="n">
        <x:f>IF(AND(D33="视觉",E33="真实运行",OR(F33="完成",F33="失败")),1,0)</x:f>
        <x:v>0</x:v>
      </x:c>
      <x:c r="P33" s="10" t="str">
        <x:f>IF(F33="未执行","未执行",IF(F33="阻塞","阻塞",IF(OR(E33="",G33="",H33=""),"待补运行证据",IF(D33="链路",IF(L33="","待评审",IF(L33="合格","链路合格","链路不合格")),IF(F33="失败","失败",IF(OR(I33="",I33&lt;2),"不足两张，检查交付",IF(M33&lt;I33,"待评审",IF(M33&gt;I33,"数量不一致",IF(N33&gt;0,"有可采用","无可采用")))))))))</x:f>
        <x:v>未执行</x:v>
      </x:c>
      <x:c r="Q33" s="17"/>
    </x:row>
    <x:row r="34" ht="52" customHeight="1">
      <x:c r="A34" s="9" t="str">
        <x:v>B-C10</x:v>
      </x:c>
      <x:c r="B34" s="9" t="str">
        <x:v>C10</x:v>
      </x:c>
      <x:c r="C34" s="9" t="str">
        <x:v>B</x:v>
      </x:c>
      <x:c r="D34" s="9" t="str">
        <x:v>视觉</x:v>
      </x:c>
      <x:c r="E34" s="17"/>
      <x:c r="F34" s="17" t="str">
        <x:v>未执行</x:v>
      </x:c>
      <x:c r="G34" s="17"/>
      <x:c r="H34" s="17"/>
      <x:c r="I34" s="19"/>
      <x:c r="J34" s="18"/>
      <x:c r="K34" s="18"/>
      <x:c r="L34" s="17"/>
      <x:c r="M34" s="21" t="n">
        <x:f>COUNTIFS('图片评分'!$B$5:$B$68,A34,'图片评分'!$M$5:$M$68,"采用")+COUNTIFS('图片评分'!$B$5:$B$68,A34,'图片评分'!$M$5:$M$68,"不采用")</x:f>
        <x:v>0</x:v>
      </x:c>
      <x:c r="N34" s="21" t="n">
        <x:f>COUNTIFS('图片评分'!$B$5:$B$68,A34,'图片评分'!$M$5:$M$68,"采用")</x:f>
        <x:v>0</x:v>
      </x:c>
      <x:c r="O34" s="21" t="n">
        <x:f>IF(AND(D34="视觉",E34="真实运行",OR(F34="完成",F34="失败")),1,0)</x:f>
        <x:v>0</x:v>
      </x:c>
      <x:c r="P34" s="9" t="str">
        <x:f>IF(F34="未执行","未执行",IF(F34="阻塞","阻塞",IF(OR(E34="",G34="",H34=""),"待补运行证据",IF(D34="链路",IF(L34="","待评审",IF(L34="合格","链路合格","链路不合格")),IF(F34="失败","失败",IF(OR(I34="",I34&lt;2),"不足两张，检查交付",IF(M34&lt;I34,"待评审",IF(M34&gt;I34,"数量不一致",IF(N34&gt;0,"有可采用","无可采用")))))))))</x:f>
        <x:v>未执行</x:v>
      </x:c>
      <x:c r="Q34" s="17"/>
    </x:row>
    <x:row r="35" ht="52" customHeight="1">
      <x:c r="A35" s="10" t="str">
        <x:v>B-C11</x:v>
      </x:c>
      <x:c r="B35" s="10" t="str">
        <x:v>C11</x:v>
      </x:c>
      <x:c r="C35" s="10" t="str">
        <x:v>B</x:v>
      </x:c>
      <x:c r="D35" s="10" t="str">
        <x:v>视觉</x:v>
      </x:c>
      <x:c r="E35" s="17"/>
      <x:c r="F35" s="17" t="str">
        <x:v>未执行</x:v>
      </x:c>
      <x:c r="G35" s="17"/>
      <x:c r="H35" s="17"/>
      <x:c r="I35" s="19"/>
      <x:c r="J35" s="18"/>
      <x:c r="K35" s="18"/>
      <x:c r="L35" s="17"/>
      <x:c r="M35" s="20" t="n">
        <x:f>COUNTIFS('图片评分'!$B$5:$B$68,A35,'图片评分'!$M$5:$M$68,"采用")+COUNTIFS('图片评分'!$B$5:$B$68,A35,'图片评分'!$M$5:$M$68,"不采用")</x:f>
        <x:v>0</x:v>
      </x:c>
      <x:c r="N35" s="20" t="n">
        <x:f>COUNTIFS('图片评分'!$B$5:$B$68,A35,'图片评分'!$M$5:$M$68,"采用")</x:f>
        <x:v>0</x:v>
      </x:c>
      <x:c r="O35" s="20" t="n">
        <x:f>IF(AND(D35="视觉",E35="真实运行",OR(F35="完成",F35="失败")),1,0)</x:f>
        <x:v>0</x:v>
      </x:c>
      <x:c r="P35" s="10" t="str">
        <x:f>IF(F35="未执行","未执行",IF(F35="阻塞","阻塞",IF(OR(E35="",G35="",H35=""),"待补运行证据",IF(D35="链路",IF(L35="","待评审",IF(L35="合格","链路合格","链路不合格")),IF(F35="失败","失败",IF(OR(I35="",I35&lt;2),"不足两张，检查交付",IF(M35&lt;I35,"待评审",IF(M35&gt;I35,"数量不一致",IF(N35&gt;0,"有可采用","无可采用")))))))))</x:f>
        <x:v>未执行</x:v>
      </x:c>
      <x:c r="Q35" s="17"/>
    </x:row>
    <x:row r="36" ht="52" customHeight="1">
      <x:c r="A36" s="9" t="str">
        <x:v>B-C12</x:v>
      </x:c>
      <x:c r="B36" s="9" t="str">
        <x:v>C12</x:v>
      </x:c>
      <x:c r="C36" s="9" t="str">
        <x:v>B</x:v>
      </x:c>
      <x:c r="D36" s="9" t="str">
        <x:v>视觉</x:v>
      </x:c>
      <x:c r="E36" s="17"/>
      <x:c r="F36" s="17" t="str">
        <x:v>未执行</x:v>
      </x:c>
      <x:c r="G36" s="17"/>
      <x:c r="H36" s="17"/>
      <x:c r="I36" s="19"/>
      <x:c r="J36" s="18"/>
      <x:c r="K36" s="18"/>
      <x:c r="L36" s="17"/>
      <x:c r="M36" s="21" t="n">
        <x:f>COUNTIFS('图片评分'!$B$5:$B$68,A36,'图片评分'!$M$5:$M$68,"采用")+COUNTIFS('图片评分'!$B$5:$B$68,A36,'图片评分'!$M$5:$M$68,"不采用")</x:f>
        <x:v>0</x:v>
      </x:c>
      <x:c r="N36" s="21" t="n">
        <x:f>COUNTIFS('图片评分'!$B$5:$B$68,A36,'图片评分'!$M$5:$M$68,"采用")</x:f>
        <x:v>0</x:v>
      </x:c>
      <x:c r="O36" s="21" t="n">
        <x:f>IF(AND(D36="视觉",E36="真实运行",OR(F36="完成",F36="失败")),1,0)</x:f>
        <x:v>0</x:v>
      </x:c>
      <x:c r="P36" s="9" t="str">
        <x:f>IF(F36="未执行","未执行",IF(F36="阻塞","阻塞",IF(OR(E36="",G36="",H36=""),"待补运行证据",IF(D36="链路",IF(L36="","待评审",IF(L36="合格","链路合格","链路不合格")),IF(F36="失败","失败",IF(OR(I36="",I36&lt;2),"不足两张，检查交付",IF(M36&lt;I36,"待评审",IF(M36&gt;I36,"数量不一致",IF(N36&gt;0,"有可采用","无可采用")))))))))</x:f>
        <x:v>未执行</x:v>
      </x:c>
      <x:c r="Q36" s="17"/>
    </x:row>
    <x:row r="37" ht="52" customHeight="1">
      <x:c r="A37" s="10" t="str">
        <x:v>B-C13</x:v>
      </x:c>
      <x:c r="B37" s="10" t="str">
        <x:v>C13</x:v>
      </x:c>
      <x:c r="C37" s="10" t="str">
        <x:v>B</x:v>
      </x:c>
      <x:c r="D37" s="10" t="str">
        <x:v>视觉</x:v>
      </x:c>
      <x:c r="E37" s="17"/>
      <x:c r="F37" s="17" t="str">
        <x:v>未执行</x:v>
      </x:c>
      <x:c r="G37" s="17"/>
      <x:c r="H37" s="17"/>
      <x:c r="I37" s="19"/>
      <x:c r="J37" s="18"/>
      <x:c r="K37" s="18"/>
      <x:c r="L37" s="17"/>
      <x:c r="M37" s="20" t="n">
        <x:f>COUNTIFS('图片评分'!$B$5:$B$68,A37,'图片评分'!$M$5:$M$68,"采用")+COUNTIFS('图片评分'!$B$5:$B$68,A37,'图片评分'!$M$5:$M$68,"不采用")</x:f>
        <x:v>0</x:v>
      </x:c>
      <x:c r="N37" s="20" t="n">
        <x:f>COUNTIFS('图片评分'!$B$5:$B$68,A37,'图片评分'!$M$5:$M$68,"采用")</x:f>
        <x:v>0</x:v>
      </x:c>
      <x:c r="O37" s="20" t="n">
        <x:f>IF(AND(D37="视觉",E37="真实运行",OR(F37="完成",F37="失败")),1,0)</x:f>
        <x:v>0</x:v>
      </x:c>
      <x:c r="P37" s="10" t="str">
        <x:f>IF(F37="未执行","未执行",IF(F37="阻塞","阻塞",IF(OR(E37="",G37="",H37=""),"待补运行证据",IF(D37="链路",IF(L37="","待评审",IF(L37="合格","链路合格","链路不合格")),IF(F37="失败","失败",IF(OR(I37="",I37&lt;2),"不足两张，检查交付",IF(M37&lt;I37,"待评审",IF(M37&gt;I37,"数量不一致",IF(N37&gt;0,"有可采用","无可采用")))))))))</x:f>
        <x:v>未执行</x:v>
      </x:c>
      <x:c r="Q37" s="17"/>
    </x:row>
    <x:row r="38" ht="52" customHeight="1">
      <x:c r="A38" s="9" t="str">
        <x:v>B-C14</x:v>
      </x:c>
      <x:c r="B38" s="9" t="str">
        <x:v>C14</x:v>
      </x:c>
      <x:c r="C38" s="9" t="str">
        <x:v>B</x:v>
      </x:c>
      <x:c r="D38" s="9" t="str">
        <x:v>视觉</x:v>
      </x:c>
      <x:c r="E38" s="17"/>
      <x:c r="F38" s="17" t="str">
        <x:v>未执行</x:v>
      </x:c>
      <x:c r="G38" s="17"/>
      <x:c r="H38" s="17"/>
      <x:c r="I38" s="19"/>
      <x:c r="J38" s="18"/>
      <x:c r="K38" s="18"/>
      <x:c r="L38" s="17"/>
      <x:c r="M38" s="21" t="n">
        <x:f>COUNTIFS('图片评分'!$B$5:$B$68,A38,'图片评分'!$M$5:$M$68,"采用")+COUNTIFS('图片评分'!$B$5:$B$68,A38,'图片评分'!$M$5:$M$68,"不采用")</x:f>
        <x:v>0</x:v>
      </x:c>
      <x:c r="N38" s="21" t="n">
        <x:f>COUNTIFS('图片评分'!$B$5:$B$68,A38,'图片评分'!$M$5:$M$68,"采用")</x:f>
        <x:v>0</x:v>
      </x:c>
      <x:c r="O38" s="21" t="n">
        <x:f>IF(AND(D38="视觉",E38="真实运行",OR(F38="完成",F38="失败")),1,0)</x:f>
        <x:v>0</x:v>
      </x:c>
      <x:c r="P38" s="9" t="str">
        <x:f>IF(F38="未执行","未执行",IF(F38="阻塞","阻塞",IF(OR(E38="",G38="",H38=""),"待补运行证据",IF(D38="链路",IF(L38="","待评审",IF(L38="合格","链路合格","链路不合格")),IF(F38="失败","失败",IF(OR(I38="",I38&lt;2),"不足两张，检查交付",IF(M38&lt;I38,"待评审",IF(M38&gt;I38,"数量不一致",IF(N38&gt;0,"有可采用","无可采用")))))))))</x:f>
        <x:v>未执行</x:v>
      </x:c>
      <x:c r="Q38" s="17"/>
    </x:row>
    <x:row r="39" ht="52" customHeight="1">
      <x:c r="A39" s="10" t="str">
        <x:v>B-C15</x:v>
      </x:c>
      <x:c r="B39" s="10" t="str">
        <x:v>C15</x:v>
      </x:c>
      <x:c r="C39" s="10" t="str">
        <x:v>B</x:v>
      </x:c>
      <x:c r="D39" s="10" t="str">
        <x:v>视觉</x:v>
      </x:c>
      <x:c r="E39" s="17"/>
      <x:c r="F39" s="17" t="str">
        <x:v>未执行</x:v>
      </x:c>
      <x:c r="G39" s="17"/>
      <x:c r="H39" s="17"/>
      <x:c r="I39" s="19"/>
      <x:c r="J39" s="18"/>
      <x:c r="K39" s="18"/>
      <x:c r="L39" s="17"/>
      <x:c r="M39" s="20" t="n">
        <x:f>COUNTIFS('图片评分'!$B$5:$B$68,A39,'图片评分'!$M$5:$M$68,"采用")+COUNTIFS('图片评分'!$B$5:$B$68,A39,'图片评分'!$M$5:$M$68,"不采用")</x:f>
        <x:v>0</x:v>
      </x:c>
      <x:c r="N39" s="20" t="n">
        <x:f>COUNTIFS('图片评分'!$B$5:$B$68,A39,'图片评分'!$M$5:$M$68,"采用")</x:f>
        <x:v>0</x:v>
      </x:c>
      <x:c r="O39" s="20" t="n">
        <x:f>IF(AND(D39="视觉",E39="真实运行",OR(F39="完成",F39="失败")),1,0)</x:f>
        <x:v>0</x:v>
      </x:c>
      <x:c r="P39" s="10" t="str">
        <x:f>IF(F39="未执行","未执行",IF(F39="阻塞","阻塞",IF(OR(E39="",G39="",H39=""),"待补运行证据",IF(D39="链路",IF(L39="","待评审",IF(L39="合格","链路合格","链路不合格")),IF(F39="失败","失败",IF(OR(I39="",I39&lt;2),"不足两张，检查交付",IF(M39&lt;I39,"待评审",IF(M39&gt;I39,"数量不一致",IF(N39&gt;0,"有可采用","无可采用")))))))))</x:f>
        <x:v>未执行</x:v>
      </x:c>
      <x:c r="Q39" s="17"/>
    </x:row>
    <x:row r="40" ht="52" customHeight="1">
      <x:c r="A40" s="9" t="str">
        <x:v>B-C16</x:v>
      </x:c>
      <x:c r="B40" s="9" t="str">
        <x:v>C16</x:v>
      </x:c>
      <x:c r="C40" s="9" t="str">
        <x:v>B</x:v>
      </x:c>
      <x:c r="D40" s="9" t="str">
        <x:v>视觉</x:v>
      </x:c>
      <x:c r="E40" s="17"/>
      <x:c r="F40" s="17" t="str">
        <x:v>未执行</x:v>
      </x:c>
      <x:c r="G40" s="17"/>
      <x:c r="H40" s="17"/>
      <x:c r="I40" s="19"/>
      <x:c r="J40" s="18"/>
      <x:c r="K40" s="18"/>
      <x:c r="L40" s="17"/>
      <x:c r="M40" s="21" t="n">
        <x:f>COUNTIFS('图片评分'!$B$5:$B$68,A40,'图片评分'!$M$5:$M$68,"采用")+COUNTIFS('图片评分'!$B$5:$B$68,A40,'图片评分'!$M$5:$M$68,"不采用")</x:f>
        <x:v>0</x:v>
      </x:c>
      <x:c r="N40" s="21" t="n">
        <x:f>COUNTIFS('图片评分'!$B$5:$B$68,A40,'图片评分'!$M$5:$M$68,"采用")</x:f>
        <x:v>0</x:v>
      </x:c>
      <x:c r="O40" s="21" t="n">
        <x:f>IF(AND(D40="视觉",E40="真实运行",OR(F40="完成",F40="失败")),1,0)</x:f>
        <x:v>0</x:v>
      </x:c>
      <x:c r="P40" s="9" t="str">
        <x:f>IF(F40="未执行","未执行",IF(F40="阻塞","阻塞",IF(OR(E40="",G40="",H40=""),"待补运行证据",IF(D40="链路",IF(L40="","待评审",IF(L40="合格","链路合格","链路不合格")),IF(F40="失败","失败",IF(OR(I40="",I40&lt;2),"不足两张，检查交付",IF(M40&lt;I40,"待评审",IF(M40&gt;I40,"数量不一致",IF(N40&gt;0,"有可采用","无可采用")))))))))</x:f>
        <x:v>未执行</x:v>
      </x:c>
      <x:c r="Q40" s="17"/>
    </x:row>
    <x:row r="41" ht="52" customHeight="1">
      <x:c r="A41" s="10" t="str">
        <x:v>B-C17</x:v>
      </x:c>
      <x:c r="B41" s="10" t="str">
        <x:v>C17</x:v>
      </x:c>
      <x:c r="C41" s="10" t="str">
        <x:v>B</x:v>
      </x:c>
      <x:c r="D41" s="10" t="str">
        <x:v>链路</x:v>
      </x:c>
      <x:c r="E41" s="17"/>
      <x:c r="F41" s="17" t="str">
        <x:v>未执行</x:v>
      </x:c>
      <x:c r="G41" s="17"/>
      <x:c r="H41" s="17"/>
      <x:c r="I41" s="19"/>
      <x:c r="J41" s="18"/>
      <x:c r="K41" s="18"/>
      <x:c r="L41" s="17"/>
      <x:c r="M41" s="20" t="n">
        <x:f>COUNTIFS('图片评分'!$B$5:$B$68,A41,'图片评分'!$M$5:$M$68,"采用")+COUNTIFS('图片评分'!$B$5:$B$68,A41,'图片评分'!$M$5:$M$68,"不采用")</x:f>
        <x:v>0</x:v>
      </x:c>
      <x:c r="N41" s="20" t="n">
        <x:f>COUNTIFS('图片评分'!$B$5:$B$68,A41,'图片评分'!$M$5:$M$68,"采用")</x:f>
        <x:v>0</x:v>
      </x:c>
      <x:c r="O41" s="20" t="n">
        <x:f>IF(AND(D41="视觉",E41="真实运行",OR(F41="完成",F41="失败")),1,0)</x:f>
        <x:v>0</x:v>
      </x:c>
      <x:c r="P41" s="10" t="str">
        <x:f>IF(F41="未执行","未执行",IF(F41="阻塞","阻塞",IF(OR(E41="",G41="",H41=""),"待补运行证据",IF(D41="链路",IF(L41="","待评审",IF(L41="合格","链路合格","链路不合格")),IF(F41="失败","失败",IF(OR(I41="",I41&lt;2),"不足两张，检查交付",IF(M41&lt;I41,"待评审",IF(M41&gt;I41,"数量不一致",IF(N41&gt;0,"有可采用","无可采用")))))))))</x:f>
        <x:v>未执行</x:v>
      </x:c>
      <x:c r="Q41" s="17"/>
    </x:row>
    <x:row r="42" ht="52" customHeight="1">
      <x:c r="A42" s="9" t="str">
        <x:v>B-C18</x:v>
      </x:c>
      <x:c r="B42" s="9" t="str">
        <x:v>C18</x:v>
      </x:c>
      <x:c r="C42" s="9" t="str">
        <x:v>B</x:v>
      </x:c>
      <x:c r="D42" s="9" t="str">
        <x:v>链路</x:v>
      </x:c>
      <x:c r="E42" s="17"/>
      <x:c r="F42" s="17" t="str">
        <x:v>未执行</x:v>
      </x:c>
      <x:c r="G42" s="17"/>
      <x:c r="H42" s="17"/>
      <x:c r="I42" s="19"/>
      <x:c r="J42" s="18"/>
      <x:c r="K42" s="18"/>
      <x:c r="L42" s="17"/>
      <x:c r="M42" s="21" t="n">
        <x:f>COUNTIFS('图片评分'!$B$5:$B$68,A42,'图片评分'!$M$5:$M$68,"采用")+COUNTIFS('图片评分'!$B$5:$B$68,A42,'图片评分'!$M$5:$M$68,"不采用")</x:f>
        <x:v>0</x:v>
      </x:c>
      <x:c r="N42" s="21" t="n">
        <x:f>COUNTIFS('图片评分'!$B$5:$B$68,A42,'图片评分'!$M$5:$M$68,"采用")</x:f>
        <x:v>0</x:v>
      </x:c>
      <x:c r="O42" s="21" t="n">
        <x:f>IF(AND(D42="视觉",E42="真实运行",OR(F42="完成",F42="失败")),1,0)</x:f>
        <x:v>0</x:v>
      </x:c>
      <x:c r="P42" s="9" t="str">
        <x:f>IF(F42="未执行","未执行",IF(F42="阻塞","阻塞",IF(OR(E42="",G42="",H42=""),"待补运行证据",IF(D42="链路",IF(L42="","待评审",IF(L42="合格","链路合格","链路不合格")),IF(F42="失败","失败",IF(OR(I42="",I42&lt;2),"不足两张，检查交付",IF(M42&lt;I42,"待评审",IF(M42&gt;I42,"数量不一致",IF(N42&gt;0,"有可采用","无可采用")))))))))</x:f>
        <x:v>未执行</x:v>
      </x:c>
      <x:c r="Q42" s="17"/>
    </x:row>
    <x:row r="43" ht="52" customHeight="1">
      <x:c r="A43" s="10" t="str">
        <x:v>B-C19</x:v>
      </x:c>
      <x:c r="B43" s="10" t="str">
        <x:v>C19</x:v>
      </x:c>
      <x:c r="C43" s="10" t="str">
        <x:v>B</x:v>
      </x:c>
      <x:c r="D43" s="10" t="str">
        <x:v>链路</x:v>
      </x:c>
      <x:c r="E43" s="17"/>
      <x:c r="F43" s="17" t="str">
        <x:v>未执行</x:v>
      </x:c>
      <x:c r="G43" s="17"/>
      <x:c r="H43" s="17"/>
      <x:c r="I43" s="19"/>
      <x:c r="J43" s="18"/>
      <x:c r="K43" s="18"/>
      <x:c r="L43" s="17"/>
      <x:c r="M43" s="20" t="n">
        <x:f>COUNTIFS('图片评分'!$B$5:$B$68,A43,'图片评分'!$M$5:$M$68,"采用")+COUNTIFS('图片评分'!$B$5:$B$68,A43,'图片评分'!$M$5:$M$68,"不采用")</x:f>
        <x:v>0</x:v>
      </x:c>
      <x:c r="N43" s="20" t="n">
        <x:f>COUNTIFS('图片评分'!$B$5:$B$68,A43,'图片评分'!$M$5:$M$68,"采用")</x:f>
        <x:v>0</x:v>
      </x:c>
      <x:c r="O43" s="20" t="n">
        <x:f>IF(AND(D43="视觉",E43="真实运行",OR(F43="完成",F43="失败")),1,0)</x:f>
        <x:v>0</x:v>
      </x:c>
      <x:c r="P43" s="10" t="str">
        <x:f>IF(F43="未执行","未执行",IF(F43="阻塞","阻塞",IF(OR(E43="",G43="",H43=""),"待补运行证据",IF(D43="链路",IF(L43="","待评审",IF(L43="合格","链路合格","链路不合格")),IF(F43="失败","失败",IF(OR(I43="",I43&lt;2),"不足两张，检查交付",IF(M43&lt;I43,"待评审",IF(M43&gt;I43,"数量不一致",IF(N43&gt;0,"有可采用","无可采用")))))))))</x:f>
        <x:v>未执行</x:v>
      </x:c>
      <x:c r="Q43" s="17"/>
    </x:row>
    <x:row r="44" ht="52" customHeight="1">
      <x:c r="A44" s="9" t="str">
        <x:v>B-C20</x:v>
      </x:c>
      <x:c r="B44" s="9" t="str">
        <x:v>C20</x:v>
      </x:c>
      <x:c r="C44" s="9" t="str">
        <x:v>B</x:v>
      </x:c>
      <x:c r="D44" s="9" t="str">
        <x:v>链路</x:v>
      </x:c>
      <x:c r="E44" s="17"/>
      <x:c r="F44" s="17" t="str">
        <x:v>未执行</x:v>
      </x:c>
      <x:c r="G44" s="17"/>
      <x:c r="H44" s="17"/>
      <x:c r="I44" s="19"/>
      <x:c r="J44" s="18"/>
      <x:c r="K44" s="18"/>
      <x:c r="L44" s="17"/>
      <x:c r="M44" s="21" t="n">
        <x:f>COUNTIFS('图片评分'!$B$5:$B$68,A44,'图片评分'!$M$5:$M$68,"采用")+COUNTIFS('图片评分'!$B$5:$B$68,A44,'图片评分'!$M$5:$M$68,"不采用")</x:f>
        <x:v>0</x:v>
      </x:c>
      <x:c r="N44" s="21" t="n">
        <x:f>COUNTIFS('图片评分'!$B$5:$B$68,A44,'图片评分'!$M$5:$M$68,"采用")</x:f>
        <x:v>0</x:v>
      </x:c>
      <x:c r="O44" s="21" t="n">
        <x:f>IF(AND(D44="视觉",E44="真实运行",OR(F44="完成",F44="失败")),1,0)</x:f>
        <x:v>0</x:v>
      </x:c>
      <x:c r="P44" s="9" t="str">
        <x:f>IF(F44="未执行","未执行",IF(F44="阻塞","阻塞",IF(OR(E44="",G44="",H44=""),"待补运行证据",IF(D44="链路",IF(L44="","待评审",IF(L44="合格","链路合格","链路不合格")),IF(F44="失败","失败",IF(OR(I44="",I44&lt;2),"不足两张，检查交付",IF(M44&lt;I44,"待评审",IF(M44&gt;I44,"数量不一致",IF(N44&gt;0,"有可采用","无可采用")))))))))</x:f>
        <x:v>未执行</x:v>
      </x:c>
      <x:c r="Q44" s="17"/>
    </x:row>
  </x:sheetData>
  <x:conditionalFormatting sqref="P5:P44">
    <x:cfRule type="containsText" dxfId="1" priority="1" operator="containsText" text="失败"/>
  </x:conditionalFormatting>
  <x:dataValidations count="4">
    <x:dataValidation type="list" sqref="E5:E44">
      <x:formula1>"真实运行,模拟演练"</x:formula1>
    </x:dataValidation>
    <x:dataValidation type="list" sqref="F5:F44">
      <x:formula1>"未执行,完成,失败,阻塞"</x:formula1>
    </x:dataValidation>
    <x:dataValidation type="list" sqref="L5:L44">
      <x:formula1>"合格,不合格"</x:formula1>
    </x:dataValidation>
    <x:dataValidation type="list" sqref="Q5:Q44">
      <x:formula1>"合格,不合格"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6.8799991607666" hidden="0" customWidth="1"/>
    <x:col min="2" max="2" width="13.75" hidden="0" customWidth="1"/>
    <x:col min="3" max="3" width="33.75" hidden="0" customWidth="1"/>
    <x:col min="4" max="4" width="13.75" hidden="0" customWidth="1"/>
    <x:col min="5" max="5" width="13.75" hidden="0" customWidth="1"/>
    <x:col min="6" max="6" width="11.880000114440918" hidden="0" customWidth="1"/>
    <x:col min="7" max="7" width="11.880000114440918" hidden="0" customWidth="1"/>
    <x:col min="8" max="8" width="11.880000114440918" hidden="0" customWidth="1"/>
    <x:col min="9" max="9" width="11.880000114440918" hidden="0" customWidth="1"/>
    <x:col min="10" max="10" width="13.75" hidden="0" customWidth="1"/>
    <x:col min="11" max="11" width="14.380000114440918" hidden="0" customWidth="1"/>
    <x:col min="12" max="12" width="16.8799991607666" hidden="0" customWidth="1"/>
    <x:col min="13" max="13" width="22.5" hidden="0" customWidth="1"/>
    <x:col min="14" max="14" width="14.380000114440918" hidden="0" customWidth="1"/>
    <x:col min="15" max="15" width="40" hidden="0" customWidth="1"/>
  </x:cols>
  <x:sheetData>
    <x:row r="1" ht="1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30" customHeight="1">
      <x:c r="A2" s="3" t="str">
        <x:v>逐图评分与人工采用结论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32" customHeight="1">
      <x:c r="A3" s="4" t="str">
        <x:v>每图 4 个设计项，各 0–2 分。完整评分、原图证据与评审人齐全才形成结论。规则详见执行方案。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34" customHeight="1">
      <x:c r="A4" s="8" t="str">
        <x:v>图片记录ID</x:v>
      </x:c>
      <x:c r="B4" s="8" t="str">
        <x:v>运行ID</x:v>
      </x:c>
      <x:c r="C4" s="8" t="str">
        <x:v>图片证据位置</x:v>
      </x:c>
      <x:c r="D4" s="8" t="str">
        <x:v>商品事实</x:v>
      </x:c>
      <x:c r="E4" s="8" t="str">
        <x:v>需求符合</x:v>
      </x:c>
      <x:c r="F4" s="8" t="str">
        <x:v>层次构图</x:v>
      </x:c>
      <x:c r="G4" s="8" t="str">
        <x:v>风格贴合</x:v>
      </x:c>
      <x:c r="H4" s="8" t="str">
        <x:v>合成光影</x:v>
      </x:c>
      <x:c r="I4" s="8" t="str">
        <x:v>文字可读</x:v>
      </x:c>
      <x:c r="J4" s="8" t="str">
        <x:v>交付完整</x:v>
      </x:c>
      <x:c r="K4" s="8" t="str">
        <x:v>设计合计/8</x:v>
      </x:c>
      <x:c r="L4" s="8" t="str">
        <x:v>人工采用选择</x:v>
      </x:c>
      <x:c r="M4" s="8" t="str">
        <x:v>有效采用结论</x:v>
      </x:c>
      <x:c r="N4" s="8" t="str">
        <x:v>评审人</x:v>
      </x:c>
      <x:c r="O4" s="8" t="str">
        <x:v>判定理由/修改量</x:v>
      </x:c>
    </x:row>
    <x:row r="5" ht="56" customHeight="1">
      <x:c r="A5" s="10" t="str">
        <x:v>A-C01-1</x:v>
      </x:c>
      <x:c r="B5" s="10" t="str">
        <x:v>A-C01</x:v>
      </x:c>
      <x:c r="C5" s="17"/>
      <x:c r="D5" s="17"/>
      <x:c r="E5" s="17"/>
      <x:c r="F5" s="19"/>
      <x:c r="G5" s="19"/>
      <x:c r="H5" s="19"/>
      <x:c r="I5" s="19"/>
      <x:c r="J5" s="19"/>
      <x:c r="K5" s="20" t="str">
        <x:f>IF(COUNT(F5:I5)&lt;4,"",SUM(F5:I5))</x:f>
      </x:c>
      <x:c r="L5" s="17"/>
      <x:c r="M5" s="10" t="str">
        <x:f>IF(OR(C5="",N5="",O5="",D5="",E5="",J5="",L5="",COUNT(F5:I5)&lt;4),"待评审",IF(OR(MIN(F5:I5)&lt;0,MAX(F5:I5)&gt;2),"检查评分",IF(L5="需重做","不采用",IF(AND(D5="合格",E5="合格",J5="合格",MIN(F5:I5)&gt;=1,K5&gt;=6),"采用","门槛不满足，请复核"))))</x:f>
        <x:v>待评审</x:v>
      </x:c>
      <x:c r="N5" s="17"/>
      <x:c r="O5" s="17"/>
    </x:row>
    <x:row r="6" ht="56" customHeight="1">
      <x:c r="A6" s="9" t="str">
        <x:v>A-C01-2</x:v>
      </x:c>
      <x:c r="B6" s="9" t="str">
        <x:v>A-C01</x:v>
      </x:c>
      <x:c r="C6" s="17"/>
      <x:c r="D6" s="17"/>
      <x:c r="E6" s="17"/>
      <x:c r="F6" s="19"/>
      <x:c r="G6" s="19"/>
      <x:c r="H6" s="19"/>
      <x:c r="I6" s="19"/>
      <x:c r="J6" s="19"/>
      <x:c r="K6" s="21" t="str">
        <x:f>IF(COUNT(F6:I6)&lt;4,"",SUM(F6:I6))</x:f>
      </x:c>
      <x:c r="L6" s="17"/>
      <x:c r="M6" s="9" t="str">
        <x:f>IF(OR(C6="",N6="",O6="",D6="",E6="",J6="",L6="",COUNT(F6:I6)&lt;4),"待评审",IF(OR(MIN(F6:I6)&lt;0,MAX(F6:I6)&gt;2),"检查评分",IF(L6="需重做","不采用",IF(AND(D6="合格",E6="合格",J6="合格",MIN(F6:I6)&gt;=1,K6&gt;=6),"采用","门槛不满足，请复核"))))</x:f>
        <x:v>待评审</x:v>
      </x:c>
      <x:c r="N6" s="17"/>
      <x:c r="O6" s="17"/>
    </x:row>
    <x:row r="7" ht="56" customHeight="1">
      <x:c r="A7" s="10" t="str">
        <x:v>A-C02-1</x:v>
      </x:c>
      <x:c r="B7" s="10" t="str">
        <x:v>A-C02</x:v>
      </x:c>
      <x:c r="C7" s="17"/>
      <x:c r="D7" s="17"/>
      <x:c r="E7" s="17"/>
      <x:c r="F7" s="19"/>
      <x:c r="G7" s="19"/>
      <x:c r="H7" s="19"/>
      <x:c r="I7" s="19"/>
      <x:c r="J7" s="19"/>
      <x:c r="K7" s="20" t="str">
        <x:f>IF(COUNT(F7:I7)&lt;4,"",SUM(F7:I7))</x:f>
      </x:c>
      <x:c r="L7" s="17"/>
      <x:c r="M7" s="10" t="str">
        <x:f>IF(OR(C7="",N7="",O7="",D7="",E7="",J7="",L7="",COUNT(F7:I7)&lt;4),"待评审",IF(OR(MIN(F7:I7)&lt;0,MAX(F7:I7)&gt;2),"检查评分",IF(L7="需重做","不采用",IF(AND(D7="合格",E7="合格",J7="合格",MIN(F7:I7)&gt;=1,K7&gt;=6),"采用","门槛不满足，请复核"))))</x:f>
        <x:v>待评审</x:v>
      </x:c>
      <x:c r="N7" s="17"/>
      <x:c r="O7" s="17"/>
    </x:row>
    <x:row r="8" ht="56" customHeight="1">
      <x:c r="A8" s="9" t="str">
        <x:v>A-C02-2</x:v>
      </x:c>
      <x:c r="B8" s="9" t="str">
        <x:v>A-C02</x:v>
      </x:c>
      <x:c r="C8" s="17"/>
      <x:c r="D8" s="17"/>
      <x:c r="E8" s="17"/>
      <x:c r="F8" s="19"/>
      <x:c r="G8" s="19"/>
      <x:c r="H8" s="19"/>
      <x:c r="I8" s="19"/>
      <x:c r="J8" s="19"/>
      <x:c r="K8" s="21" t="str">
        <x:f>IF(COUNT(F8:I8)&lt;4,"",SUM(F8:I8))</x:f>
      </x:c>
      <x:c r="L8" s="17"/>
      <x:c r="M8" s="9" t="str">
        <x:f>IF(OR(C8="",N8="",O8="",D8="",E8="",J8="",L8="",COUNT(F8:I8)&lt;4),"待评审",IF(OR(MIN(F8:I8)&lt;0,MAX(F8:I8)&gt;2),"检查评分",IF(L8="需重做","不采用",IF(AND(D8="合格",E8="合格",J8="合格",MIN(F8:I8)&gt;=1,K8&gt;=6),"采用","门槛不满足，请复核"))))</x:f>
        <x:v>待评审</x:v>
      </x:c>
      <x:c r="N8" s="17"/>
      <x:c r="O8" s="17"/>
    </x:row>
    <x:row r="9" ht="56" customHeight="1">
      <x:c r="A9" s="10" t="str">
        <x:v>A-C03-1</x:v>
      </x:c>
      <x:c r="B9" s="10" t="str">
        <x:v>A-C03</x:v>
      </x:c>
      <x:c r="C9" s="17"/>
      <x:c r="D9" s="17"/>
      <x:c r="E9" s="17"/>
      <x:c r="F9" s="19"/>
      <x:c r="G9" s="19"/>
      <x:c r="H9" s="19"/>
      <x:c r="I9" s="19"/>
      <x:c r="J9" s="19"/>
      <x:c r="K9" s="20" t="str">
        <x:f>IF(COUNT(F9:I9)&lt;4,"",SUM(F9:I9))</x:f>
      </x:c>
      <x:c r="L9" s="17"/>
      <x:c r="M9" s="10" t="str">
        <x:f>IF(OR(C9="",N9="",O9="",D9="",E9="",J9="",L9="",COUNT(F9:I9)&lt;4),"待评审",IF(OR(MIN(F9:I9)&lt;0,MAX(F9:I9)&gt;2),"检查评分",IF(L9="需重做","不采用",IF(AND(D9="合格",E9="合格",J9="合格",MIN(F9:I9)&gt;=1,K9&gt;=6),"采用","门槛不满足，请复核"))))</x:f>
        <x:v>待评审</x:v>
      </x:c>
      <x:c r="N9" s="17"/>
      <x:c r="O9" s="17"/>
    </x:row>
    <x:row r="10" ht="56" customHeight="1">
      <x:c r="A10" s="9" t="str">
        <x:v>A-C03-2</x:v>
      </x:c>
      <x:c r="B10" s="9" t="str">
        <x:v>A-C03</x:v>
      </x:c>
      <x:c r="C10" s="17"/>
      <x:c r="D10" s="17"/>
      <x:c r="E10" s="17"/>
      <x:c r="F10" s="19"/>
      <x:c r="G10" s="19"/>
      <x:c r="H10" s="19"/>
      <x:c r="I10" s="19"/>
      <x:c r="J10" s="19"/>
      <x:c r="K10" s="21" t="str">
        <x:f>IF(COUNT(F10:I10)&lt;4,"",SUM(F10:I10))</x:f>
      </x:c>
      <x:c r="L10" s="17"/>
      <x:c r="M10" s="9" t="str">
        <x:f>IF(OR(C10="",N10="",O10="",D10="",E10="",J10="",L10="",COUNT(F10:I10)&lt;4),"待评审",IF(OR(MIN(F10:I10)&lt;0,MAX(F10:I10)&gt;2),"检查评分",IF(L10="需重做","不采用",IF(AND(D10="合格",E10="合格",J10="合格",MIN(F10:I10)&gt;=1,K10&gt;=6),"采用","门槛不满足，请复核"))))</x:f>
        <x:v>待评审</x:v>
      </x:c>
      <x:c r="N10" s="17"/>
      <x:c r="O10" s="17"/>
    </x:row>
    <x:row r="11" ht="56" customHeight="1">
      <x:c r="A11" s="10" t="str">
        <x:v>A-C04-1</x:v>
      </x:c>
      <x:c r="B11" s="10" t="str">
        <x:v>A-C04</x:v>
      </x:c>
      <x:c r="C11" s="17"/>
      <x:c r="D11" s="17"/>
      <x:c r="E11" s="17"/>
      <x:c r="F11" s="19"/>
      <x:c r="G11" s="19"/>
      <x:c r="H11" s="19"/>
      <x:c r="I11" s="19"/>
      <x:c r="J11" s="19"/>
      <x:c r="K11" s="20" t="str">
        <x:f>IF(COUNT(F11:I11)&lt;4,"",SUM(F11:I11))</x:f>
      </x:c>
      <x:c r="L11" s="17"/>
      <x:c r="M11" s="10" t="str">
        <x:f>IF(OR(C11="",N11="",O11="",D11="",E11="",J11="",L11="",COUNT(F11:I11)&lt;4),"待评审",IF(OR(MIN(F11:I11)&lt;0,MAX(F11:I11)&gt;2),"检查评分",IF(L11="需重做","不采用",IF(AND(D11="合格",E11="合格",J11="合格",MIN(F11:I11)&gt;=1,K11&gt;=6),"采用","门槛不满足，请复核"))))</x:f>
        <x:v>待评审</x:v>
      </x:c>
      <x:c r="N11" s="17"/>
      <x:c r="O11" s="17"/>
    </x:row>
    <x:row r="12" ht="56" customHeight="1">
      <x:c r="A12" s="9" t="str">
        <x:v>A-C04-2</x:v>
      </x:c>
      <x:c r="B12" s="9" t="str">
        <x:v>A-C04</x:v>
      </x:c>
      <x:c r="C12" s="17"/>
      <x:c r="D12" s="17"/>
      <x:c r="E12" s="17"/>
      <x:c r="F12" s="19"/>
      <x:c r="G12" s="19"/>
      <x:c r="H12" s="19"/>
      <x:c r="I12" s="19"/>
      <x:c r="J12" s="19"/>
      <x:c r="K12" s="21" t="str">
        <x:f>IF(COUNT(F12:I12)&lt;4,"",SUM(F12:I12))</x:f>
      </x:c>
      <x:c r="L12" s="17"/>
      <x:c r="M12" s="9" t="str">
        <x:f>IF(OR(C12="",N12="",O12="",D12="",E12="",J12="",L12="",COUNT(F12:I12)&lt;4),"待评审",IF(OR(MIN(F12:I12)&lt;0,MAX(F12:I12)&gt;2),"检查评分",IF(L12="需重做","不采用",IF(AND(D12="合格",E12="合格",J12="合格",MIN(F12:I12)&gt;=1,K12&gt;=6),"采用","门槛不满足，请复核"))))</x:f>
        <x:v>待评审</x:v>
      </x:c>
      <x:c r="N12" s="17"/>
      <x:c r="O12" s="17"/>
    </x:row>
    <x:row r="13" ht="56" customHeight="1">
      <x:c r="A13" s="10" t="str">
        <x:v>A-C05-1</x:v>
      </x:c>
      <x:c r="B13" s="10" t="str">
        <x:v>A-C05</x:v>
      </x:c>
      <x:c r="C13" s="17"/>
      <x:c r="D13" s="17"/>
      <x:c r="E13" s="17"/>
      <x:c r="F13" s="19"/>
      <x:c r="G13" s="19"/>
      <x:c r="H13" s="19"/>
      <x:c r="I13" s="19"/>
      <x:c r="J13" s="19"/>
      <x:c r="K13" s="20" t="str">
        <x:f>IF(COUNT(F13:I13)&lt;4,"",SUM(F13:I13))</x:f>
      </x:c>
      <x:c r="L13" s="17"/>
      <x:c r="M13" s="10" t="str">
        <x:f>IF(OR(C13="",N13="",O13="",D13="",E13="",J13="",L13="",COUNT(F13:I13)&lt;4),"待评审",IF(OR(MIN(F13:I13)&lt;0,MAX(F13:I13)&gt;2),"检查评分",IF(L13="需重做","不采用",IF(AND(D13="合格",E13="合格",J13="合格",MIN(F13:I13)&gt;=1,K13&gt;=6),"采用","门槛不满足，请复核"))))</x:f>
        <x:v>待评审</x:v>
      </x:c>
      <x:c r="N13" s="17"/>
      <x:c r="O13" s="17"/>
    </x:row>
    <x:row r="14" ht="56" customHeight="1">
      <x:c r="A14" s="9" t="str">
        <x:v>A-C05-2</x:v>
      </x:c>
      <x:c r="B14" s="9" t="str">
        <x:v>A-C05</x:v>
      </x:c>
      <x:c r="C14" s="17"/>
      <x:c r="D14" s="17"/>
      <x:c r="E14" s="17"/>
      <x:c r="F14" s="19"/>
      <x:c r="G14" s="19"/>
      <x:c r="H14" s="19"/>
      <x:c r="I14" s="19"/>
      <x:c r="J14" s="19"/>
      <x:c r="K14" s="21" t="str">
        <x:f>IF(COUNT(F14:I14)&lt;4,"",SUM(F14:I14))</x:f>
      </x:c>
      <x:c r="L14" s="17"/>
      <x:c r="M14" s="9" t="str">
        <x:f>IF(OR(C14="",N14="",O14="",D14="",E14="",J14="",L14="",COUNT(F14:I14)&lt;4),"待评审",IF(OR(MIN(F14:I14)&lt;0,MAX(F14:I14)&gt;2),"检查评分",IF(L14="需重做","不采用",IF(AND(D14="合格",E14="合格",J14="合格",MIN(F14:I14)&gt;=1,K14&gt;=6),"采用","门槛不满足，请复核"))))</x:f>
        <x:v>待评审</x:v>
      </x:c>
      <x:c r="N14" s="17"/>
      <x:c r="O14" s="17"/>
    </x:row>
    <x:row r="15" ht="56" customHeight="1">
      <x:c r="A15" s="10" t="str">
        <x:v>A-C06-1</x:v>
      </x:c>
      <x:c r="B15" s="10" t="str">
        <x:v>A-C06</x:v>
      </x:c>
      <x:c r="C15" s="17"/>
      <x:c r="D15" s="17"/>
      <x:c r="E15" s="17"/>
      <x:c r="F15" s="19"/>
      <x:c r="G15" s="19"/>
      <x:c r="H15" s="19"/>
      <x:c r="I15" s="19"/>
      <x:c r="J15" s="19"/>
      <x:c r="K15" s="20" t="str">
        <x:f>IF(COUNT(F15:I15)&lt;4,"",SUM(F15:I15))</x:f>
      </x:c>
      <x:c r="L15" s="17"/>
      <x:c r="M15" s="10" t="str">
        <x:f>IF(OR(C15="",N15="",O15="",D15="",E15="",J15="",L15="",COUNT(F15:I15)&lt;4),"待评审",IF(OR(MIN(F15:I15)&lt;0,MAX(F15:I15)&gt;2),"检查评分",IF(L15="需重做","不采用",IF(AND(D15="合格",E15="合格",J15="合格",MIN(F15:I15)&gt;=1,K15&gt;=6),"采用","门槛不满足，请复核"))))</x:f>
        <x:v>待评审</x:v>
      </x:c>
      <x:c r="N15" s="17"/>
      <x:c r="O15" s="17"/>
    </x:row>
    <x:row r="16" ht="56" customHeight="1">
      <x:c r="A16" s="9" t="str">
        <x:v>A-C06-2</x:v>
      </x:c>
      <x:c r="B16" s="9" t="str">
        <x:v>A-C06</x:v>
      </x:c>
      <x:c r="C16" s="17"/>
      <x:c r="D16" s="17"/>
      <x:c r="E16" s="17"/>
      <x:c r="F16" s="19"/>
      <x:c r="G16" s="19"/>
      <x:c r="H16" s="19"/>
      <x:c r="I16" s="19"/>
      <x:c r="J16" s="19"/>
      <x:c r="K16" s="21" t="str">
        <x:f>IF(COUNT(F16:I16)&lt;4,"",SUM(F16:I16))</x:f>
      </x:c>
      <x:c r="L16" s="17"/>
      <x:c r="M16" s="9" t="str">
        <x:f>IF(OR(C16="",N16="",O16="",D16="",E16="",J16="",L16="",COUNT(F16:I16)&lt;4),"待评审",IF(OR(MIN(F16:I16)&lt;0,MAX(F16:I16)&gt;2),"检查评分",IF(L16="需重做","不采用",IF(AND(D16="合格",E16="合格",J16="合格",MIN(F16:I16)&gt;=1,K16&gt;=6),"采用","门槛不满足，请复核"))))</x:f>
        <x:v>待评审</x:v>
      </x:c>
      <x:c r="N16" s="17"/>
      <x:c r="O16" s="17"/>
    </x:row>
    <x:row r="17" ht="56" customHeight="1">
      <x:c r="A17" s="10" t="str">
        <x:v>A-C07-1</x:v>
      </x:c>
      <x:c r="B17" s="10" t="str">
        <x:v>A-C07</x:v>
      </x:c>
      <x:c r="C17" s="17"/>
      <x:c r="D17" s="17"/>
      <x:c r="E17" s="17"/>
      <x:c r="F17" s="19"/>
      <x:c r="G17" s="19"/>
      <x:c r="H17" s="19"/>
      <x:c r="I17" s="19"/>
      <x:c r="J17" s="19"/>
      <x:c r="K17" s="20" t="str">
        <x:f>IF(COUNT(F17:I17)&lt;4,"",SUM(F17:I17))</x:f>
      </x:c>
      <x:c r="L17" s="17"/>
      <x:c r="M17" s="10" t="str">
        <x:f>IF(OR(C17="",N17="",O17="",D17="",E17="",J17="",L17="",COUNT(F17:I17)&lt;4),"待评审",IF(OR(MIN(F17:I17)&lt;0,MAX(F17:I17)&gt;2),"检查评分",IF(L17="需重做","不采用",IF(AND(D17="合格",E17="合格",J17="合格",MIN(F17:I17)&gt;=1,K17&gt;=6),"采用","门槛不满足，请复核"))))</x:f>
        <x:v>待评审</x:v>
      </x:c>
      <x:c r="N17" s="17"/>
      <x:c r="O17" s="17"/>
    </x:row>
    <x:row r="18" ht="56" customHeight="1">
      <x:c r="A18" s="9" t="str">
        <x:v>A-C07-2</x:v>
      </x:c>
      <x:c r="B18" s="9" t="str">
        <x:v>A-C07</x:v>
      </x:c>
      <x:c r="C18" s="17"/>
      <x:c r="D18" s="17"/>
      <x:c r="E18" s="17"/>
      <x:c r="F18" s="19"/>
      <x:c r="G18" s="19"/>
      <x:c r="H18" s="19"/>
      <x:c r="I18" s="19"/>
      <x:c r="J18" s="19"/>
      <x:c r="K18" s="21" t="str">
        <x:f>IF(COUNT(F18:I18)&lt;4,"",SUM(F18:I18))</x:f>
      </x:c>
      <x:c r="L18" s="17"/>
      <x:c r="M18" s="9" t="str">
        <x:f>IF(OR(C18="",N18="",O18="",D18="",E18="",J18="",L18="",COUNT(F18:I18)&lt;4),"待评审",IF(OR(MIN(F18:I18)&lt;0,MAX(F18:I18)&gt;2),"检查评分",IF(L18="需重做","不采用",IF(AND(D18="合格",E18="合格",J18="合格",MIN(F18:I18)&gt;=1,K18&gt;=6),"采用","门槛不满足，请复核"))))</x:f>
        <x:v>待评审</x:v>
      </x:c>
      <x:c r="N18" s="17"/>
      <x:c r="O18" s="17"/>
    </x:row>
    <x:row r="19" ht="56" customHeight="1">
      <x:c r="A19" s="10" t="str">
        <x:v>A-C08-1</x:v>
      </x:c>
      <x:c r="B19" s="10" t="str">
        <x:v>A-C08</x:v>
      </x:c>
      <x:c r="C19" s="17"/>
      <x:c r="D19" s="17"/>
      <x:c r="E19" s="17"/>
      <x:c r="F19" s="19"/>
      <x:c r="G19" s="19"/>
      <x:c r="H19" s="19"/>
      <x:c r="I19" s="19"/>
      <x:c r="J19" s="19"/>
      <x:c r="K19" s="20" t="str">
        <x:f>IF(COUNT(F19:I19)&lt;4,"",SUM(F19:I19))</x:f>
      </x:c>
      <x:c r="L19" s="17"/>
      <x:c r="M19" s="10" t="str">
        <x:f>IF(OR(C19="",N19="",O19="",D19="",E19="",J19="",L19="",COUNT(F19:I19)&lt;4),"待评审",IF(OR(MIN(F19:I19)&lt;0,MAX(F19:I19)&gt;2),"检查评分",IF(L19="需重做","不采用",IF(AND(D19="合格",E19="合格",J19="合格",MIN(F19:I19)&gt;=1,K19&gt;=6),"采用","门槛不满足，请复核"))))</x:f>
        <x:v>待评审</x:v>
      </x:c>
      <x:c r="N19" s="17"/>
      <x:c r="O19" s="17"/>
    </x:row>
    <x:row r="20" ht="56" customHeight="1">
      <x:c r="A20" s="9" t="str">
        <x:v>A-C08-2</x:v>
      </x:c>
      <x:c r="B20" s="9" t="str">
        <x:v>A-C08</x:v>
      </x:c>
      <x:c r="C20" s="17"/>
      <x:c r="D20" s="17"/>
      <x:c r="E20" s="17"/>
      <x:c r="F20" s="19"/>
      <x:c r="G20" s="19"/>
      <x:c r="H20" s="19"/>
      <x:c r="I20" s="19"/>
      <x:c r="J20" s="19"/>
      <x:c r="K20" s="21" t="str">
        <x:f>IF(COUNT(F20:I20)&lt;4,"",SUM(F20:I20))</x:f>
      </x:c>
      <x:c r="L20" s="17"/>
      <x:c r="M20" s="9" t="str">
        <x:f>IF(OR(C20="",N20="",O20="",D20="",E20="",J20="",L20="",COUNT(F20:I20)&lt;4),"待评审",IF(OR(MIN(F20:I20)&lt;0,MAX(F20:I20)&gt;2),"检查评分",IF(L20="需重做","不采用",IF(AND(D20="合格",E20="合格",J20="合格",MIN(F20:I20)&gt;=1,K20&gt;=6),"采用","门槛不满足，请复核"))))</x:f>
        <x:v>待评审</x:v>
      </x:c>
      <x:c r="N20" s="17"/>
      <x:c r="O20" s="17"/>
    </x:row>
    <x:row r="21" ht="56" customHeight="1">
      <x:c r="A21" s="10" t="str">
        <x:v>A-C09-1</x:v>
      </x:c>
      <x:c r="B21" s="10" t="str">
        <x:v>A-C09</x:v>
      </x:c>
      <x:c r="C21" s="17"/>
      <x:c r="D21" s="17"/>
      <x:c r="E21" s="17"/>
      <x:c r="F21" s="19"/>
      <x:c r="G21" s="19"/>
      <x:c r="H21" s="19"/>
      <x:c r="I21" s="19"/>
      <x:c r="J21" s="19"/>
      <x:c r="K21" s="20" t="str">
        <x:f>IF(COUNT(F21:I21)&lt;4,"",SUM(F21:I21))</x:f>
      </x:c>
      <x:c r="L21" s="17"/>
      <x:c r="M21" s="10" t="str">
        <x:f>IF(OR(C21="",N21="",O21="",D21="",E21="",J21="",L21="",COUNT(F21:I21)&lt;4),"待评审",IF(OR(MIN(F21:I21)&lt;0,MAX(F21:I21)&gt;2),"检查评分",IF(L21="需重做","不采用",IF(AND(D21="合格",E21="合格",J21="合格",MIN(F21:I21)&gt;=1,K21&gt;=6),"采用","门槛不满足，请复核"))))</x:f>
        <x:v>待评审</x:v>
      </x:c>
      <x:c r="N21" s="17"/>
      <x:c r="O21" s="17"/>
    </x:row>
    <x:row r="22" ht="56" customHeight="1">
      <x:c r="A22" s="9" t="str">
        <x:v>A-C09-2</x:v>
      </x:c>
      <x:c r="B22" s="9" t="str">
        <x:v>A-C09</x:v>
      </x:c>
      <x:c r="C22" s="17"/>
      <x:c r="D22" s="17"/>
      <x:c r="E22" s="17"/>
      <x:c r="F22" s="19"/>
      <x:c r="G22" s="19"/>
      <x:c r="H22" s="19"/>
      <x:c r="I22" s="19"/>
      <x:c r="J22" s="19"/>
      <x:c r="K22" s="21" t="str">
        <x:f>IF(COUNT(F22:I22)&lt;4,"",SUM(F22:I22))</x:f>
      </x:c>
      <x:c r="L22" s="17"/>
      <x:c r="M22" s="9" t="str">
        <x:f>IF(OR(C22="",N22="",O22="",D22="",E22="",J22="",L22="",COUNT(F22:I22)&lt;4),"待评审",IF(OR(MIN(F22:I22)&lt;0,MAX(F22:I22)&gt;2),"检查评分",IF(L22="需重做","不采用",IF(AND(D22="合格",E22="合格",J22="合格",MIN(F22:I22)&gt;=1,K22&gt;=6),"采用","门槛不满足，请复核"))))</x:f>
        <x:v>待评审</x:v>
      </x:c>
      <x:c r="N22" s="17"/>
      <x:c r="O22" s="17"/>
    </x:row>
    <x:row r="23" ht="56" customHeight="1">
      <x:c r="A23" s="10" t="str">
        <x:v>A-C10-1</x:v>
      </x:c>
      <x:c r="B23" s="10" t="str">
        <x:v>A-C10</x:v>
      </x:c>
      <x:c r="C23" s="17"/>
      <x:c r="D23" s="17"/>
      <x:c r="E23" s="17"/>
      <x:c r="F23" s="19"/>
      <x:c r="G23" s="19"/>
      <x:c r="H23" s="19"/>
      <x:c r="I23" s="19"/>
      <x:c r="J23" s="19"/>
      <x:c r="K23" s="20" t="str">
        <x:f>IF(COUNT(F23:I23)&lt;4,"",SUM(F23:I23))</x:f>
      </x:c>
      <x:c r="L23" s="17"/>
      <x:c r="M23" s="10" t="str">
        <x:f>IF(OR(C23="",N23="",O23="",D23="",E23="",J23="",L23="",COUNT(F23:I23)&lt;4),"待评审",IF(OR(MIN(F23:I23)&lt;0,MAX(F23:I23)&gt;2),"检查评分",IF(L23="需重做","不采用",IF(AND(D23="合格",E23="合格",J23="合格",MIN(F23:I23)&gt;=1,K23&gt;=6),"采用","门槛不满足，请复核"))))</x:f>
        <x:v>待评审</x:v>
      </x:c>
      <x:c r="N23" s="17"/>
      <x:c r="O23" s="17"/>
    </x:row>
    <x:row r="24" ht="56" customHeight="1">
      <x:c r="A24" s="9" t="str">
        <x:v>A-C10-2</x:v>
      </x:c>
      <x:c r="B24" s="9" t="str">
        <x:v>A-C10</x:v>
      </x:c>
      <x:c r="C24" s="17"/>
      <x:c r="D24" s="17"/>
      <x:c r="E24" s="17"/>
      <x:c r="F24" s="19"/>
      <x:c r="G24" s="19"/>
      <x:c r="H24" s="19"/>
      <x:c r="I24" s="19"/>
      <x:c r="J24" s="19"/>
      <x:c r="K24" s="21" t="str">
        <x:f>IF(COUNT(F24:I24)&lt;4,"",SUM(F24:I24))</x:f>
      </x:c>
      <x:c r="L24" s="17"/>
      <x:c r="M24" s="9" t="str">
        <x:f>IF(OR(C24="",N24="",O24="",D24="",E24="",J24="",L24="",COUNT(F24:I24)&lt;4),"待评审",IF(OR(MIN(F24:I24)&lt;0,MAX(F24:I24)&gt;2),"检查评分",IF(L24="需重做","不采用",IF(AND(D24="合格",E24="合格",J24="合格",MIN(F24:I24)&gt;=1,K24&gt;=6),"采用","门槛不满足，请复核"))))</x:f>
        <x:v>待评审</x:v>
      </x:c>
      <x:c r="N24" s="17"/>
      <x:c r="O24" s="17"/>
    </x:row>
    <x:row r="25" ht="56" customHeight="1">
      <x:c r="A25" s="10" t="str">
        <x:v>A-C11-1</x:v>
      </x:c>
      <x:c r="B25" s="10" t="str">
        <x:v>A-C11</x:v>
      </x:c>
      <x:c r="C25" s="17"/>
      <x:c r="D25" s="17"/>
      <x:c r="E25" s="17"/>
      <x:c r="F25" s="19"/>
      <x:c r="G25" s="19"/>
      <x:c r="H25" s="19"/>
      <x:c r="I25" s="19"/>
      <x:c r="J25" s="19"/>
      <x:c r="K25" s="20" t="str">
        <x:f>IF(COUNT(F25:I25)&lt;4,"",SUM(F25:I25))</x:f>
      </x:c>
      <x:c r="L25" s="17"/>
      <x:c r="M25" s="10" t="str">
        <x:f>IF(OR(C25="",N25="",O25="",D25="",E25="",J25="",L25="",COUNT(F25:I25)&lt;4),"待评审",IF(OR(MIN(F25:I25)&lt;0,MAX(F25:I25)&gt;2),"检查评分",IF(L25="需重做","不采用",IF(AND(D25="合格",E25="合格",J25="合格",MIN(F25:I25)&gt;=1,K25&gt;=6),"采用","门槛不满足，请复核"))))</x:f>
        <x:v>待评审</x:v>
      </x:c>
      <x:c r="N25" s="17"/>
      <x:c r="O25" s="17"/>
    </x:row>
    <x:row r="26" ht="56" customHeight="1">
      <x:c r="A26" s="9" t="str">
        <x:v>A-C11-2</x:v>
      </x:c>
      <x:c r="B26" s="9" t="str">
        <x:v>A-C11</x:v>
      </x:c>
      <x:c r="C26" s="17"/>
      <x:c r="D26" s="17"/>
      <x:c r="E26" s="17"/>
      <x:c r="F26" s="19"/>
      <x:c r="G26" s="19"/>
      <x:c r="H26" s="19"/>
      <x:c r="I26" s="19"/>
      <x:c r="J26" s="19"/>
      <x:c r="K26" s="21" t="str">
        <x:f>IF(COUNT(F26:I26)&lt;4,"",SUM(F26:I26))</x:f>
      </x:c>
      <x:c r="L26" s="17"/>
      <x:c r="M26" s="9" t="str">
        <x:f>IF(OR(C26="",N26="",O26="",D26="",E26="",J26="",L26="",COUNT(F26:I26)&lt;4),"待评审",IF(OR(MIN(F26:I26)&lt;0,MAX(F26:I26)&gt;2),"检查评分",IF(L26="需重做","不采用",IF(AND(D26="合格",E26="合格",J26="合格",MIN(F26:I26)&gt;=1,K26&gt;=6),"采用","门槛不满足，请复核"))))</x:f>
        <x:v>待评审</x:v>
      </x:c>
      <x:c r="N26" s="17"/>
      <x:c r="O26" s="17"/>
    </x:row>
    <x:row r="27" ht="56" customHeight="1">
      <x:c r="A27" s="10" t="str">
        <x:v>A-C12-1</x:v>
      </x:c>
      <x:c r="B27" s="10" t="str">
        <x:v>A-C12</x:v>
      </x:c>
      <x:c r="C27" s="17"/>
      <x:c r="D27" s="17"/>
      <x:c r="E27" s="17"/>
      <x:c r="F27" s="19"/>
      <x:c r="G27" s="19"/>
      <x:c r="H27" s="19"/>
      <x:c r="I27" s="19"/>
      <x:c r="J27" s="19"/>
      <x:c r="K27" s="20" t="str">
        <x:f>IF(COUNT(F27:I27)&lt;4,"",SUM(F27:I27))</x:f>
      </x:c>
      <x:c r="L27" s="17"/>
      <x:c r="M27" s="10" t="str">
        <x:f>IF(OR(C27="",N27="",O27="",D27="",E27="",J27="",L27="",COUNT(F27:I27)&lt;4),"待评审",IF(OR(MIN(F27:I27)&lt;0,MAX(F27:I27)&gt;2),"检查评分",IF(L27="需重做","不采用",IF(AND(D27="合格",E27="合格",J27="合格",MIN(F27:I27)&gt;=1,K27&gt;=6),"采用","门槛不满足，请复核"))))</x:f>
        <x:v>待评审</x:v>
      </x:c>
      <x:c r="N27" s="17"/>
      <x:c r="O27" s="17"/>
    </x:row>
    <x:row r="28" ht="56" customHeight="1">
      <x:c r="A28" s="9" t="str">
        <x:v>A-C12-2</x:v>
      </x:c>
      <x:c r="B28" s="9" t="str">
        <x:v>A-C12</x:v>
      </x:c>
      <x:c r="C28" s="17"/>
      <x:c r="D28" s="17"/>
      <x:c r="E28" s="17"/>
      <x:c r="F28" s="19"/>
      <x:c r="G28" s="19"/>
      <x:c r="H28" s="19"/>
      <x:c r="I28" s="19"/>
      <x:c r="J28" s="19"/>
      <x:c r="K28" s="21" t="str">
        <x:f>IF(COUNT(F28:I28)&lt;4,"",SUM(F28:I28))</x:f>
      </x:c>
      <x:c r="L28" s="17"/>
      <x:c r="M28" s="9" t="str">
        <x:f>IF(OR(C28="",N28="",O28="",D28="",E28="",J28="",L28="",COUNT(F28:I28)&lt;4),"待评审",IF(OR(MIN(F28:I28)&lt;0,MAX(F28:I28)&gt;2),"检查评分",IF(L28="需重做","不采用",IF(AND(D28="合格",E28="合格",J28="合格",MIN(F28:I28)&gt;=1,K28&gt;=6),"采用","门槛不满足，请复核"))))</x:f>
        <x:v>待评审</x:v>
      </x:c>
      <x:c r="N28" s="17"/>
      <x:c r="O28" s="17"/>
    </x:row>
    <x:row r="29" ht="56" customHeight="1">
      <x:c r="A29" s="10" t="str">
        <x:v>A-C13-1</x:v>
      </x:c>
      <x:c r="B29" s="10" t="str">
        <x:v>A-C13</x:v>
      </x:c>
      <x:c r="C29" s="17"/>
      <x:c r="D29" s="17"/>
      <x:c r="E29" s="17"/>
      <x:c r="F29" s="19"/>
      <x:c r="G29" s="19"/>
      <x:c r="H29" s="19"/>
      <x:c r="I29" s="19"/>
      <x:c r="J29" s="19"/>
      <x:c r="K29" s="20" t="str">
        <x:f>IF(COUNT(F29:I29)&lt;4,"",SUM(F29:I29))</x:f>
      </x:c>
      <x:c r="L29" s="17"/>
      <x:c r="M29" s="10" t="str">
        <x:f>IF(OR(C29="",N29="",O29="",D29="",E29="",J29="",L29="",COUNT(F29:I29)&lt;4),"待评审",IF(OR(MIN(F29:I29)&lt;0,MAX(F29:I29)&gt;2),"检查评分",IF(L29="需重做","不采用",IF(AND(D29="合格",E29="合格",J29="合格",MIN(F29:I29)&gt;=1,K29&gt;=6),"采用","门槛不满足，请复核"))))</x:f>
        <x:v>待评审</x:v>
      </x:c>
      <x:c r="N29" s="17"/>
      <x:c r="O29" s="17"/>
    </x:row>
    <x:row r="30" ht="56" customHeight="1">
      <x:c r="A30" s="9" t="str">
        <x:v>A-C13-2</x:v>
      </x:c>
      <x:c r="B30" s="9" t="str">
        <x:v>A-C13</x:v>
      </x:c>
      <x:c r="C30" s="17"/>
      <x:c r="D30" s="17"/>
      <x:c r="E30" s="17"/>
      <x:c r="F30" s="19"/>
      <x:c r="G30" s="19"/>
      <x:c r="H30" s="19"/>
      <x:c r="I30" s="19"/>
      <x:c r="J30" s="19"/>
      <x:c r="K30" s="21" t="str">
        <x:f>IF(COUNT(F30:I30)&lt;4,"",SUM(F30:I30))</x:f>
      </x:c>
      <x:c r="L30" s="17"/>
      <x:c r="M30" s="9" t="str">
        <x:f>IF(OR(C30="",N30="",O30="",D30="",E30="",J30="",L30="",COUNT(F30:I30)&lt;4),"待评审",IF(OR(MIN(F30:I30)&lt;0,MAX(F30:I30)&gt;2),"检查评分",IF(L30="需重做","不采用",IF(AND(D30="合格",E30="合格",J30="合格",MIN(F30:I30)&gt;=1,K30&gt;=6),"采用","门槛不满足，请复核"))))</x:f>
        <x:v>待评审</x:v>
      </x:c>
      <x:c r="N30" s="17"/>
      <x:c r="O30" s="17"/>
    </x:row>
    <x:row r="31" ht="56" customHeight="1">
      <x:c r="A31" s="10" t="str">
        <x:v>A-C14-1</x:v>
      </x:c>
      <x:c r="B31" s="10" t="str">
        <x:v>A-C14</x:v>
      </x:c>
      <x:c r="C31" s="17"/>
      <x:c r="D31" s="17"/>
      <x:c r="E31" s="17"/>
      <x:c r="F31" s="19"/>
      <x:c r="G31" s="19"/>
      <x:c r="H31" s="19"/>
      <x:c r="I31" s="19"/>
      <x:c r="J31" s="19"/>
      <x:c r="K31" s="20" t="str">
        <x:f>IF(COUNT(F31:I31)&lt;4,"",SUM(F31:I31))</x:f>
      </x:c>
      <x:c r="L31" s="17"/>
      <x:c r="M31" s="10" t="str">
        <x:f>IF(OR(C31="",N31="",O31="",D31="",E31="",J31="",L31="",COUNT(F31:I31)&lt;4),"待评审",IF(OR(MIN(F31:I31)&lt;0,MAX(F31:I31)&gt;2),"检查评分",IF(L31="需重做","不采用",IF(AND(D31="合格",E31="合格",J31="合格",MIN(F31:I31)&gt;=1,K31&gt;=6),"采用","门槛不满足，请复核"))))</x:f>
        <x:v>待评审</x:v>
      </x:c>
      <x:c r="N31" s="17"/>
      <x:c r="O31" s="17"/>
    </x:row>
    <x:row r="32" ht="56" customHeight="1">
      <x:c r="A32" s="9" t="str">
        <x:v>A-C14-2</x:v>
      </x:c>
      <x:c r="B32" s="9" t="str">
        <x:v>A-C14</x:v>
      </x:c>
      <x:c r="C32" s="17"/>
      <x:c r="D32" s="17"/>
      <x:c r="E32" s="17"/>
      <x:c r="F32" s="19"/>
      <x:c r="G32" s="19"/>
      <x:c r="H32" s="19"/>
      <x:c r="I32" s="19"/>
      <x:c r="J32" s="19"/>
      <x:c r="K32" s="21" t="str">
        <x:f>IF(COUNT(F32:I32)&lt;4,"",SUM(F32:I32))</x:f>
      </x:c>
      <x:c r="L32" s="17"/>
      <x:c r="M32" s="9" t="str">
        <x:f>IF(OR(C32="",N32="",O32="",D32="",E32="",J32="",L32="",COUNT(F32:I32)&lt;4),"待评审",IF(OR(MIN(F32:I32)&lt;0,MAX(F32:I32)&gt;2),"检查评分",IF(L32="需重做","不采用",IF(AND(D32="合格",E32="合格",J32="合格",MIN(F32:I32)&gt;=1,K32&gt;=6),"采用","门槛不满足，请复核"))))</x:f>
        <x:v>待评审</x:v>
      </x:c>
      <x:c r="N32" s="17"/>
      <x:c r="O32" s="17"/>
    </x:row>
    <x:row r="33" ht="56" customHeight="1">
      <x:c r="A33" s="10" t="str">
        <x:v>A-C15-1</x:v>
      </x:c>
      <x:c r="B33" s="10" t="str">
        <x:v>A-C15</x:v>
      </x:c>
      <x:c r="C33" s="17"/>
      <x:c r="D33" s="17"/>
      <x:c r="E33" s="17"/>
      <x:c r="F33" s="19"/>
      <x:c r="G33" s="19"/>
      <x:c r="H33" s="19"/>
      <x:c r="I33" s="19"/>
      <x:c r="J33" s="19"/>
      <x:c r="K33" s="20" t="str">
        <x:f>IF(COUNT(F33:I33)&lt;4,"",SUM(F33:I33))</x:f>
      </x:c>
      <x:c r="L33" s="17"/>
      <x:c r="M33" s="10" t="str">
        <x:f>IF(OR(C33="",N33="",O33="",D33="",E33="",J33="",L33="",COUNT(F33:I33)&lt;4),"待评审",IF(OR(MIN(F33:I33)&lt;0,MAX(F33:I33)&gt;2),"检查评分",IF(L33="需重做","不采用",IF(AND(D33="合格",E33="合格",J33="合格",MIN(F33:I33)&gt;=1,K33&gt;=6),"采用","门槛不满足，请复核"))))</x:f>
        <x:v>待评审</x:v>
      </x:c>
      <x:c r="N33" s="17"/>
      <x:c r="O33" s="17"/>
    </x:row>
    <x:row r="34" ht="56" customHeight="1">
      <x:c r="A34" s="9" t="str">
        <x:v>A-C15-2</x:v>
      </x:c>
      <x:c r="B34" s="9" t="str">
        <x:v>A-C15</x:v>
      </x:c>
      <x:c r="C34" s="17"/>
      <x:c r="D34" s="17"/>
      <x:c r="E34" s="17"/>
      <x:c r="F34" s="19"/>
      <x:c r="G34" s="19"/>
      <x:c r="H34" s="19"/>
      <x:c r="I34" s="19"/>
      <x:c r="J34" s="19"/>
      <x:c r="K34" s="21" t="str">
        <x:f>IF(COUNT(F34:I34)&lt;4,"",SUM(F34:I34))</x:f>
      </x:c>
      <x:c r="L34" s="17"/>
      <x:c r="M34" s="9" t="str">
        <x:f>IF(OR(C34="",N34="",O34="",D34="",E34="",J34="",L34="",COUNT(F34:I34)&lt;4),"待评审",IF(OR(MIN(F34:I34)&lt;0,MAX(F34:I34)&gt;2),"检查评分",IF(L34="需重做","不采用",IF(AND(D34="合格",E34="合格",J34="合格",MIN(F34:I34)&gt;=1,K34&gt;=6),"采用","门槛不满足，请复核"))))</x:f>
        <x:v>待评审</x:v>
      </x:c>
      <x:c r="N34" s="17"/>
      <x:c r="O34" s="17"/>
    </x:row>
    <x:row r="35" ht="56" customHeight="1">
      <x:c r="A35" s="10" t="str">
        <x:v>A-C16-1</x:v>
      </x:c>
      <x:c r="B35" s="10" t="str">
        <x:v>A-C16</x:v>
      </x:c>
      <x:c r="C35" s="17"/>
      <x:c r="D35" s="17"/>
      <x:c r="E35" s="17"/>
      <x:c r="F35" s="19"/>
      <x:c r="G35" s="19"/>
      <x:c r="H35" s="19"/>
      <x:c r="I35" s="19"/>
      <x:c r="J35" s="19"/>
      <x:c r="K35" s="20" t="str">
        <x:f>IF(COUNT(F35:I35)&lt;4,"",SUM(F35:I35))</x:f>
      </x:c>
      <x:c r="L35" s="17"/>
      <x:c r="M35" s="10" t="str">
        <x:f>IF(OR(C35="",N35="",O35="",D35="",E35="",J35="",L35="",COUNT(F35:I35)&lt;4),"待评审",IF(OR(MIN(F35:I35)&lt;0,MAX(F35:I35)&gt;2),"检查评分",IF(L35="需重做","不采用",IF(AND(D35="合格",E35="合格",J35="合格",MIN(F35:I35)&gt;=1,K35&gt;=6),"采用","门槛不满足，请复核"))))</x:f>
        <x:v>待评审</x:v>
      </x:c>
      <x:c r="N35" s="17"/>
      <x:c r="O35" s="17"/>
    </x:row>
    <x:row r="36" ht="56" customHeight="1">
      <x:c r="A36" s="9" t="str">
        <x:v>A-C16-2</x:v>
      </x:c>
      <x:c r="B36" s="9" t="str">
        <x:v>A-C16</x:v>
      </x:c>
      <x:c r="C36" s="17"/>
      <x:c r="D36" s="17"/>
      <x:c r="E36" s="17"/>
      <x:c r="F36" s="19"/>
      <x:c r="G36" s="19"/>
      <x:c r="H36" s="19"/>
      <x:c r="I36" s="19"/>
      <x:c r="J36" s="19"/>
      <x:c r="K36" s="21" t="str">
        <x:f>IF(COUNT(F36:I36)&lt;4,"",SUM(F36:I36))</x:f>
      </x:c>
      <x:c r="L36" s="17"/>
      <x:c r="M36" s="9" t="str">
        <x:f>IF(OR(C36="",N36="",O36="",D36="",E36="",J36="",L36="",COUNT(F36:I36)&lt;4),"待评审",IF(OR(MIN(F36:I36)&lt;0,MAX(F36:I36)&gt;2),"检查评分",IF(L36="需重做","不采用",IF(AND(D36="合格",E36="合格",J36="合格",MIN(F36:I36)&gt;=1,K36&gt;=6),"采用","门槛不满足，请复核"))))</x:f>
        <x:v>待评审</x:v>
      </x:c>
      <x:c r="N36" s="17"/>
      <x:c r="O36" s="17"/>
    </x:row>
    <x:row r="37" ht="56" customHeight="1">
      <x:c r="A37" s="10" t="str">
        <x:v>B-C01-1</x:v>
      </x:c>
      <x:c r="B37" s="10" t="str">
        <x:v>B-C01</x:v>
      </x:c>
      <x:c r="C37" s="17"/>
      <x:c r="D37" s="17"/>
      <x:c r="E37" s="17"/>
      <x:c r="F37" s="19"/>
      <x:c r="G37" s="19"/>
      <x:c r="H37" s="19"/>
      <x:c r="I37" s="19"/>
      <x:c r="J37" s="19"/>
      <x:c r="K37" s="20" t="str">
        <x:f>IF(COUNT(F37:I37)&lt;4,"",SUM(F37:I37))</x:f>
      </x:c>
      <x:c r="L37" s="17"/>
      <x:c r="M37" s="10" t="str">
        <x:f>IF(OR(C37="",N37="",O37="",D37="",E37="",J37="",L37="",COUNT(F37:I37)&lt;4),"待评审",IF(OR(MIN(F37:I37)&lt;0,MAX(F37:I37)&gt;2),"检查评分",IF(L37="需重做","不采用",IF(AND(D37="合格",E37="合格",J37="合格",MIN(F37:I37)&gt;=1,K37&gt;=6),"采用","门槛不满足，请复核"))))</x:f>
        <x:v>待评审</x:v>
      </x:c>
      <x:c r="N37" s="17"/>
      <x:c r="O37" s="17"/>
    </x:row>
    <x:row r="38" ht="56" customHeight="1">
      <x:c r="A38" s="9" t="str">
        <x:v>B-C01-2</x:v>
      </x:c>
      <x:c r="B38" s="9" t="str">
        <x:v>B-C01</x:v>
      </x:c>
      <x:c r="C38" s="17"/>
      <x:c r="D38" s="17"/>
      <x:c r="E38" s="17"/>
      <x:c r="F38" s="19"/>
      <x:c r="G38" s="19"/>
      <x:c r="H38" s="19"/>
      <x:c r="I38" s="19"/>
      <x:c r="J38" s="19"/>
      <x:c r="K38" s="21" t="str">
        <x:f>IF(COUNT(F38:I38)&lt;4,"",SUM(F38:I38))</x:f>
      </x:c>
      <x:c r="L38" s="17"/>
      <x:c r="M38" s="9" t="str">
        <x:f>IF(OR(C38="",N38="",O38="",D38="",E38="",J38="",L38="",COUNT(F38:I38)&lt;4),"待评审",IF(OR(MIN(F38:I38)&lt;0,MAX(F38:I38)&gt;2),"检查评分",IF(L38="需重做","不采用",IF(AND(D38="合格",E38="合格",J38="合格",MIN(F38:I38)&gt;=1,K38&gt;=6),"采用","门槛不满足，请复核"))))</x:f>
        <x:v>待评审</x:v>
      </x:c>
      <x:c r="N38" s="17"/>
      <x:c r="O38" s="17"/>
    </x:row>
    <x:row r="39" ht="56" customHeight="1">
      <x:c r="A39" s="10" t="str">
        <x:v>B-C02-1</x:v>
      </x:c>
      <x:c r="B39" s="10" t="str">
        <x:v>B-C02</x:v>
      </x:c>
      <x:c r="C39" s="17"/>
      <x:c r="D39" s="17"/>
      <x:c r="E39" s="17"/>
      <x:c r="F39" s="19"/>
      <x:c r="G39" s="19"/>
      <x:c r="H39" s="19"/>
      <x:c r="I39" s="19"/>
      <x:c r="J39" s="19"/>
      <x:c r="K39" s="20" t="str">
        <x:f>IF(COUNT(F39:I39)&lt;4,"",SUM(F39:I39))</x:f>
      </x:c>
      <x:c r="L39" s="17"/>
      <x:c r="M39" s="10" t="str">
        <x:f>IF(OR(C39="",N39="",O39="",D39="",E39="",J39="",L39="",COUNT(F39:I39)&lt;4),"待评审",IF(OR(MIN(F39:I39)&lt;0,MAX(F39:I39)&gt;2),"检查评分",IF(L39="需重做","不采用",IF(AND(D39="合格",E39="合格",J39="合格",MIN(F39:I39)&gt;=1,K39&gt;=6),"采用","门槛不满足，请复核"))))</x:f>
        <x:v>待评审</x:v>
      </x:c>
      <x:c r="N39" s="17"/>
      <x:c r="O39" s="17"/>
    </x:row>
    <x:row r="40" ht="56" customHeight="1">
      <x:c r="A40" s="9" t="str">
        <x:v>B-C02-2</x:v>
      </x:c>
      <x:c r="B40" s="9" t="str">
        <x:v>B-C02</x:v>
      </x:c>
      <x:c r="C40" s="17"/>
      <x:c r="D40" s="17"/>
      <x:c r="E40" s="17"/>
      <x:c r="F40" s="19"/>
      <x:c r="G40" s="19"/>
      <x:c r="H40" s="19"/>
      <x:c r="I40" s="19"/>
      <x:c r="J40" s="19"/>
      <x:c r="K40" s="21" t="str">
        <x:f>IF(COUNT(F40:I40)&lt;4,"",SUM(F40:I40))</x:f>
      </x:c>
      <x:c r="L40" s="17"/>
      <x:c r="M40" s="9" t="str">
        <x:f>IF(OR(C40="",N40="",O40="",D40="",E40="",J40="",L40="",COUNT(F40:I40)&lt;4),"待评审",IF(OR(MIN(F40:I40)&lt;0,MAX(F40:I40)&gt;2),"检查评分",IF(L40="需重做","不采用",IF(AND(D40="合格",E40="合格",J40="合格",MIN(F40:I40)&gt;=1,K40&gt;=6),"采用","门槛不满足，请复核"))))</x:f>
        <x:v>待评审</x:v>
      </x:c>
      <x:c r="N40" s="17"/>
      <x:c r="O40" s="17"/>
    </x:row>
    <x:row r="41" ht="56" customHeight="1">
      <x:c r="A41" s="10" t="str">
        <x:v>B-C03-1</x:v>
      </x:c>
      <x:c r="B41" s="10" t="str">
        <x:v>B-C03</x:v>
      </x:c>
      <x:c r="C41" s="17"/>
      <x:c r="D41" s="17"/>
      <x:c r="E41" s="17"/>
      <x:c r="F41" s="19"/>
      <x:c r="G41" s="19"/>
      <x:c r="H41" s="19"/>
      <x:c r="I41" s="19"/>
      <x:c r="J41" s="19"/>
      <x:c r="K41" s="20" t="str">
        <x:f>IF(COUNT(F41:I41)&lt;4,"",SUM(F41:I41))</x:f>
      </x:c>
      <x:c r="L41" s="17"/>
      <x:c r="M41" s="10" t="str">
        <x:f>IF(OR(C41="",N41="",O41="",D41="",E41="",J41="",L41="",COUNT(F41:I41)&lt;4),"待评审",IF(OR(MIN(F41:I41)&lt;0,MAX(F41:I41)&gt;2),"检查评分",IF(L41="需重做","不采用",IF(AND(D41="合格",E41="合格",J41="合格",MIN(F41:I41)&gt;=1,K41&gt;=6),"采用","门槛不满足，请复核"))))</x:f>
        <x:v>待评审</x:v>
      </x:c>
      <x:c r="N41" s="17"/>
      <x:c r="O41" s="17"/>
    </x:row>
    <x:row r="42" ht="56" customHeight="1">
      <x:c r="A42" s="9" t="str">
        <x:v>B-C03-2</x:v>
      </x:c>
      <x:c r="B42" s="9" t="str">
        <x:v>B-C03</x:v>
      </x:c>
      <x:c r="C42" s="17"/>
      <x:c r="D42" s="17"/>
      <x:c r="E42" s="17"/>
      <x:c r="F42" s="19"/>
      <x:c r="G42" s="19"/>
      <x:c r="H42" s="19"/>
      <x:c r="I42" s="19"/>
      <x:c r="J42" s="19"/>
      <x:c r="K42" s="21" t="str">
        <x:f>IF(COUNT(F42:I42)&lt;4,"",SUM(F42:I42))</x:f>
      </x:c>
      <x:c r="L42" s="17"/>
      <x:c r="M42" s="9" t="str">
        <x:f>IF(OR(C42="",N42="",O42="",D42="",E42="",J42="",L42="",COUNT(F42:I42)&lt;4),"待评审",IF(OR(MIN(F42:I42)&lt;0,MAX(F42:I42)&gt;2),"检查评分",IF(L42="需重做","不采用",IF(AND(D42="合格",E42="合格",J42="合格",MIN(F42:I42)&gt;=1,K42&gt;=6),"采用","门槛不满足，请复核"))))</x:f>
        <x:v>待评审</x:v>
      </x:c>
      <x:c r="N42" s="17"/>
      <x:c r="O42" s="17"/>
    </x:row>
    <x:row r="43" ht="56" customHeight="1">
      <x:c r="A43" s="10" t="str">
        <x:v>B-C04-1</x:v>
      </x:c>
      <x:c r="B43" s="10" t="str">
        <x:v>B-C04</x:v>
      </x:c>
      <x:c r="C43" s="17"/>
      <x:c r="D43" s="17"/>
      <x:c r="E43" s="17"/>
      <x:c r="F43" s="19"/>
      <x:c r="G43" s="19"/>
      <x:c r="H43" s="19"/>
      <x:c r="I43" s="19"/>
      <x:c r="J43" s="19"/>
      <x:c r="K43" s="20" t="str">
        <x:f>IF(COUNT(F43:I43)&lt;4,"",SUM(F43:I43))</x:f>
      </x:c>
      <x:c r="L43" s="17"/>
      <x:c r="M43" s="10" t="str">
        <x:f>IF(OR(C43="",N43="",O43="",D43="",E43="",J43="",L43="",COUNT(F43:I43)&lt;4),"待评审",IF(OR(MIN(F43:I43)&lt;0,MAX(F43:I43)&gt;2),"检查评分",IF(L43="需重做","不采用",IF(AND(D43="合格",E43="合格",J43="合格",MIN(F43:I43)&gt;=1,K43&gt;=6),"采用","门槛不满足，请复核"))))</x:f>
        <x:v>待评审</x:v>
      </x:c>
      <x:c r="N43" s="17"/>
      <x:c r="O43" s="17"/>
    </x:row>
    <x:row r="44" ht="56" customHeight="1">
      <x:c r="A44" s="9" t="str">
        <x:v>B-C04-2</x:v>
      </x:c>
      <x:c r="B44" s="9" t="str">
        <x:v>B-C04</x:v>
      </x:c>
      <x:c r="C44" s="17"/>
      <x:c r="D44" s="17"/>
      <x:c r="E44" s="17"/>
      <x:c r="F44" s="19"/>
      <x:c r="G44" s="19"/>
      <x:c r="H44" s="19"/>
      <x:c r="I44" s="19"/>
      <x:c r="J44" s="19"/>
      <x:c r="K44" s="21" t="str">
        <x:f>IF(COUNT(F44:I44)&lt;4,"",SUM(F44:I44))</x:f>
      </x:c>
      <x:c r="L44" s="17"/>
      <x:c r="M44" s="9" t="str">
        <x:f>IF(OR(C44="",N44="",O44="",D44="",E44="",J44="",L44="",COUNT(F44:I44)&lt;4),"待评审",IF(OR(MIN(F44:I44)&lt;0,MAX(F44:I44)&gt;2),"检查评分",IF(L44="需重做","不采用",IF(AND(D44="合格",E44="合格",J44="合格",MIN(F44:I44)&gt;=1,K44&gt;=6),"采用","门槛不满足，请复核"))))</x:f>
        <x:v>待评审</x:v>
      </x:c>
      <x:c r="N44" s="17"/>
      <x:c r="O44" s="17"/>
    </x:row>
    <x:row r="45" ht="56" customHeight="1">
      <x:c r="A45" s="10" t="str">
        <x:v>B-C05-1</x:v>
      </x:c>
      <x:c r="B45" s="10" t="str">
        <x:v>B-C05</x:v>
      </x:c>
      <x:c r="C45" s="17"/>
      <x:c r="D45" s="17"/>
      <x:c r="E45" s="17"/>
      <x:c r="F45" s="19"/>
      <x:c r="G45" s="19"/>
      <x:c r="H45" s="19"/>
      <x:c r="I45" s="19"/>
      <x:c r="J45" s="19"/>
      <x:c r="K45" s="20" t="str">
        <x:f>IF(COUNT(F45:I45)&lt;4,"",SUM(F45:I45))</x:f>
      </x:c>
      <x:c r="L45" s="17"/>
      <x:c r="M45" s="10" t="str">
        <x:f>IF(OR(C45="",N45="",O45="",D45="",E45="",J45="",L45="",COUNT(F45:I45)&lt;4),"待评审",IF(OR(MIN(F45:I45)&lt;0,MAX(F45:I45)&gt;2),"检查评分",IF(L45="需重做","不采用",IF(AND(D45="合格",E45="合格",J45="合格",MIN(F45:I45)&gt;=1,K45&gt;=6),"采用","门槛不满足，请复核"))))</x:f>
        <x:v>待评审</x:v>
      </x:c>
      <x:c r="N45" s="17"/>
      <x:c r="O45" s="17"/>
    </x:row>
    <x:row r="46" ht="56" customHeight="1">
      <x:c r="A46" s="9" t="str">
        <x:v>B-C05-2</x:v>
      </x:c>
      <x:c r="B46" s="9" t="str">
        <x:v>B-C05</x:v>
      </x:c>
      <x:c r="C46" s="17"/>
      <x:c r="D46" s="17"/>
      <x:c r="E46" s="17"/>
      <x:c r="F46" s="19"/>
      <x:c r="G46" s="19"/>
      <x:c r="H46" s="19"/>
      <x:c r="I46" s="19"/>
      <x:c r="J46" s="19"/>
      <x:c r="K46" s="21" t="str">
        <x:f>IF(COUNT(F46:I46)&lt;4,"",SUM(F46:I46))</x:f>
      </x:c>
      <x:c r="L46" s="17"/>
      <x:c r="M46" s="9" t="str">
        <x:f>IF(OR(C46="",N46="",O46="",D46="",E46="",J46="",L46="",COUNT(F46:I46)&lt;4),"待评审",IF(OR(MIN(F46:I46)&lt;0,MAX(F46:I46)&gt;2),"检查评分",IF(L46="需重做","不采用",IF(AND(D46="合格",E46="合格",J46="合格",MIN(F46:I46)&gt;=1,K46&gt;=6),"采用","门槛不满足，请复核"))))</x:f>
        <x:v>待评审</x:v>
      </x:c>
      <x:c r="N46" s="17"/>
      <x:c r="O46" s="17"/>
    </x:row>
    <x:row r="47" ht="56" customHeight="1">
      <x:c r="A47" s="10" t="str">
        <x:v>B-C06-1</x:v>
      </x:c>
      <x:c r="B47" s="10" t="str">
        <x:v>B-C06</x:v>
      </x:c>
      <x:c r="C47" s="17"/>
      <x:c r="D47" s="17"/>
      <x:c r="E47" s="17"/>
      <x:c r="F47" s="19"/>
      <x:c r="G47" s="19"/>
      <x:c r="H47" s="19"/>
      <x:c r="I47" s="19"/>
      <x:c r="J47" s="19"/>
      <x:c r="K47" s="20" t="str">
        <x:f>IF(COUNT(F47:I47)&lt;4,"",SUM(F47:I47))</x:f>
      </x:c>
      <x:c r="L47" s="17"/>
      <x:c r="M47" s="10" t="str">
        <x:f>IF(OR(C47="",N47="",O47="",D47="",E47="",J47="",L47="",COUNT(F47:I47)&lt;4),"待评审",IF(OR(MIN(F47:I47)&lt;0,MAX(F47:I47)&gt;2),"检查评分",IF(L47="需重做","不采用",IF(AND(D47="合格",E47="合格",J47="合格",MIN(F47:I47)&gt;=1,K47&gt;=6),"采用","门槛不满足，请复核"))))</x:f>
        <x:v>待评审</x:v>
      </x:c>
      <x:c r="N47" s="17"/>
      <x:c r="O47" s="17"/>
    </x:row>
    <x:row r="48" ht="56" customHeight="1">
      <x:c r="A48" s="9" t="str">
        <x:v>B-C06-2</x:v>
      </x:c>
      <x:c r="B48" s="9" t="str">
        <x:v>B-C06</x:v>
      </x:c>
      <x:c r="C48" s="17"/>
      <x:c r="D48" s="17"/>
      <x:c r="E48" s="17"/>
      <x:c r="F48" s="19"/>
      <x:c r="G48" s="19"/>
      <x:c r="H48" s="19"/>
      <x:c r="I48" s="19"/>
      <x:c r="J48" s="19"/>
      <x:c r="K48" s="21" t="str">
        <x:f>IF(COUNT(F48:I48)&lt;4,"",SUM(F48:I48))</x:f>
      </x:c>
      <x:c r="L48" s="17"/>
      <x:c r="M48" s="9" t="str">
        <x:f>IF(OR(C48="",N48="",O48="",D48="",E48="",J48="",L48="",COUNT(F48:I48)&lt;4),"待评审",IF(OR(MIN(F48:I48)&lt;0,MAX(F48:I48)&gt;2),"检查评分",IF(L48="需重做","不采用",IF(AND(D48="合格",E48="合格",J48="合格",MIN(F48:I48)&gt;=1,K48&gt;=6),"采用","门槛不满足，请复核"))))</x:f>
        <x:v>待评审</x:v>
      </x:c>
      <x:c r="N48" s="17"/>
      <x:c r="O48" s="17"/>
    </x:row>
    <x:row r="49" ht="56" customHeight="1">
      <x:c r="A49" s="10" t="str">
        <x:v>B-C07-1</x:v>
      </x:c>
      <x:c r="B49" s="10" t="str">
        <x:v>B-C07</x:v>
      </x:c>
      <x:c r="C49" s="17"/>
      <x:c r="D49" s="17"/>
      <x:c r="E49" s="17"/>
      <x:c r="F49" s="19"/>
      <x:c r="G49" s="19"/>
      <x:c r="H49" s="19"/>
      <x:c r="I49" s="19"/>
      <x:c r="J49" s="19"/>
      <x:c r="K49" s="20" t="str">
        <x:f>IF(COUNT(F49:I49)&lt;4,"",SUM(F49:I49))</x:f>
      </x:c>
      <x:c r="L49" s="17"/>
      <x:c r="M49" s="10" t="str">
        <x:f>IF(OR(C49="",N49="",O49="",D49="",E49="",J49="",L49="",COUNT(F49:I49)&lt;4),"待评审",IF(OR(MIN(F49:I49)&lt;0,MAX(F49:I49)&gt;2),"检查评分",IF(L49="需重做","不采用",IF(AND(D49="合格",E49="合格",J49="合格",MIN(F49:I49)&gt;=1,K49&gt;=6),"采用","门槛不满足，请复核"))))</x:f>
        <x:v>待评审</x:v>
      </x:c>
      <x:c r="N49" s="17"/>
      <x:c r="O49" s="17"/>
    </x:row>
    <x:row r="50" ht="56" customHeight="1">
      <x:c r="A50" s="9" t="str">
        <x:v>B-C07-2</x:v>
      </x:c>
      <x:c r="B50" s="9" t="str">
        <x:v>B-C07</x:v>
      </x:c>
      <x:c r="C50" s="17"/>
      <x:c r="D50" s="17"/>
      <x:c r="E50" s="17"/>
      <x:c r="F50" s="19"/>
      <x:c r="G50" s="19"/>
      <x:c r="H50" s="19"/>
      <x:c r="I50" s="19"/>
      <x:c r="J50" s="19"/>
      <x:c r="K50" s="21" t="str">
        <x:f>IF(COUNT(F50:I50)&lt;4,"",SUM(F50:I50))</x:f>
      </x:c>
      <x:c r="L50" s="17"/>
      <x:c r="M50" s="9" t="str">
        <x:f>IF(OR(C50="",N50="",O50="",D50="",E50="",J50="",L50="",COUNT(F50:I50)&lt;4),"待评审",IF(OR(MIN(F50:I50)&lt;0,MAX(F50:I50)&gt;2),"检查评分",IF(L50="需重做","不采用",IF(AND(D50="合格",E50="合格",J50="合格",MIN(F50:I50)&gt;=1,K50&gt;=6),"采用","门槛不满足，请复核"))))</x:f>
        <x:v>待评审</x:v>
      </x:c>
      <x:c r="N50" s="17"/>
      <x:c r="O50" s="17"/>
    </x:row>
    <x:row r="51" ht="56" customHeight="1">
      <x:c r="A51" s="10" t="str">
        <x:v>B-C08-1</x:v>
      </x:c>
      <x:c r="B51" s="10" t="str">
        <x:v>B-C08</x:v>
      </x:c>
      <x:c r="C51" s="17"/>
      <x:c r="D51" s="17"/>
      <x:c r="E51" s="17"/>
      <x:c r="F51" s="19"/>
      <x:c r="G51" s="19"/>
      <x:c r="H51" s="19"/>
      <x:c r="I51" s="19"/>
      <x:c r="J51" s="19"/>
      <x:c r="K51" s="20" t="str">
        <x:f>IF(COUNT(F51:I51)&lt;4,"",SUM(F51:I51))</x:f>
      </x:c>
      <x:c r="L51" s="17"/>
      <x:c r="M51" s="10" t="str">
        <x:f>IF(OR(C51="",N51="",O51="",D51="",E51="",J51="",L51="",COUNT(F51:I51)&lt;4),"待评审",IF(OR(MIN(F51:I51)&lt;0,MAX(F51:I51)&gt;2),"检查评分",IF(L51="需重做","不采用",IF(AND(D51="合格",E51="合格",J51="合格",MIN(F51:I51)&gt;=1,K51&gt;=6),"采用","门槛不满足，请复核"))))</x:f>
        <x:v>待评审</x:v>
      </x:c>
      <x:c r="N51" s="17"/>
      <x:c r="O51" s="17"/>
    </x:row>
    <x:row r="52" ht="56" customHeight="1">
      <x:c r="A52" s="9" t="str">
        <x:v>B-C08-2</x:v>
      </x:c>
      <x:c r="B52" s="9" t="str">
        <x:v>B-C08</x:v>
      </x:c>
      <x:c r="C52" s="17"/>
      <x:c r="D52" s="17"/>
      <x:c r="E52" s="17"/>
      <x:c r="F52" s="19"/>
      <x:c r="G52" s="19"/>
      <x:c r="H52" s="19"/>
      <x:c r="I52" s="19"/>
      <x:c r="J52" s="19"/>
      <x:c r="K52" s="21" t="str">
        <x:f>IF(COUNT(F52:I52)&lt;4,"",SUM(F52:I52))</x:f>
      </x:c>
      <x:c r="L52" s="17"/>
      <x:c r="M52" s="9" t="str">
        <x:f>IF(OR(C52="",N52="",O52="",D52="",E52="",J52="",L52="",COUNT(F52:I52)&lt;4),"待评审",IF(OR(MIN(F52:I52)&lt;0,MAX(F52:I52)&gt;2),"检查评分",IF(L52="需重做","不采用",IF(AND(D52="合格",E52="合格",J52="合格",MIN(F52:I52)&gt;=1,K52&gt;=6),"采用","门槛不满足，请复核"))))</x:f>
        <x:v>待评审</x:v>
      </x:c>
      <x:c r="N52" s="17"/>
      <x:c r="O52" s="17"/>
    </x:row>
    <x:row r="53" ht="56" customHeight="1">
      <x:c r="A53" s="10" t="str">
        <x:v>B-C09-1</x:v>
      </x:c>
      <x:c r="B53" s="10" t="str">
        <x:v>B-C09</x:v>
      </x:c>
      <x:c r="C53" s="17"/>
      <x:c r="D53" s="17"/>
      <x:c r="E53" s="17"/>
      <x:c r="F53" s="19"/>
      <x:c r="G53" s="19"/>
      <x:c r="H53" s="19"/>
      <x:c r="I53" s="19"/>
      <x:c r="J53" s="19"/>
      <x:c r="K53" s="20" t="str">
        <x:f>IF(COUNT(F53:I53)&lt;4,"",SUM(F53:I53))</x:f>
      </x:c>
      <x:c r="L53" s="17"/>
      <x:c r="M53" s="10" t="str">
        <x:f>IF(OR(C53="",N53="",O53="",D53="",E53="",J53="",L53="",COUNT(F53:I53)&lt;4),"待评审",IF(OR(MIN(F53:I53)&lt;0,MAX(F53:I53)&gt;2),"检查评分",IF(L53="需重做","不采用",IF(AND(D53="合格",E53="合格",J53="合格",MIN(F53:I53)&gt;=1,K53&gt;=6),"采用","门槛不满足，请复核"))))</x:f>
        <x:v>待评审</x:v>
      </x:c>
      <x:c r="N53" s="17"/>
      <x:c r="O53" s="17"/>
    </x:row>
    <x:row r="54" ht="56" customHeight="1">
      <x:c r="A54" s="9" t="str">
        <x:v>B-C09-2</x:v>
      </x:c>
      <x:c r="B54" s="9" t="str">
        <x:v>B-C09</x:v>
      </x:c>
      <x:c r="C54" s="17"/>
      <x:c r="D54" s="17"/>
      <x:c r="E54" s="17"/>
      <x:c r="F54" s="19"/>
      <x:c r="G54" s="19"/>
      <x:c r="H54" s="19"/>
      <x:c r="I54" s="19"/>
      <x:c r="J54" s="19"/>
      <x:c r="K54" s="21" t="str">
        <x:f>IF(COUNT(F54:I54)&lt;4,"",SUM(F54:I54))</x:f>
      </x:c>
      <x:c r="L54" s="17"/>
      <x:c r="M54" s="9" t="str">
        <x:f>IF(OR(C54="",N54="",O54="",D54="",E54="",J54="",L54="",COUNT(F54:I54)&lt;4),"待评审",IF(OR(MIN(F54:I54)&lt;0,MAX(F54:I54)&gt;2),"检查评分",IF(L54="需重做","不采用",IF(AND(D54="合格",E54="合格",J54="合格",MIN(F54:I54)&gt;=1,K54&gt;=6),"采用","门槛不满足，请复核"))))</x:f>
        <x:v>待评审</x:v>
      </x:c>
      <x:c r="N54" s="17"/>
      <x:c r="O54" s="17"/>
    </x:row>
    <x:row r="55" ht="56" customHeight="1">
      <x:c r="A55" s="10" t="str">
        <x:v>B-C10-1</x:v>
      </x:c>
      <x:c r="B55" s="10" t="str">
        <x:v>B-C10</x:v>
      </x:c>
      <x:c r="C55" s="17"/>
      <x:c r="D55" s="17"/>
      <x:c r="E55" s="17"/>
      <x:c r="F55" s="19"/>
      <x:c r="G55" s="19"/>
      <x:c r="H55" s="19"/>
      <x:c r="I55" s="19"/>
      <x:c r="J55" s="19"/>
      <x:c r="K55" s="20" t="str">
        <x:f>IF(COUNT(F55:I55)&lt;4,"",SUM(F55:I55))</x:f>
      </x:c>
      <x:c r="L55" s="17"/>
      <x:c r="M55" s="10" t="str">
        <x:f>IF(OR(C55="",N55="",O55="",D55="",E55="",J55="",L55="",COUNT(F55:I55)&lt;4),"待评审",IF(OR(MIN(F55:I55)&lt;0,MAX(F55:I55)&gt;2),"检查评分",IF(L55="需重做","不采用",IF(AND(D55="合格",E55="合格",J55="合格",MIN(F55:I55)&gt;=1,K55&gt;=6),"采用","门槛不满足，请复核"))))</x:f>
        <x:v>待评审</x:v>
      </x:c>
      <x:c r="N55" s="17"/>
      <x:c r="O55" s="17"/>
    </x:row>
    <x:row r="56" ht="56" customHeight="1">
      <x:c r="A56" s="9" t="str">
        <x:v>B-C10-2</x:v>
      </x:c>
      <x:c r="B56" s="9" t="str">
        <x:v>B-C10</x:v>
      </x:c>
      <x:c r="C56" s="17"/>
      <x:c r="D56" s="17"/>
      <x:c r="E56" s="17"/>
      <x:c r="F56" s="19"/>
      <x:c r="G56" s="19"/>
      <x:c r="H56" s="19"/>
      <x:c r="I56" s="19"/>
      <x:c r="J56" s="19"/>
      <x:c r="K56" s="21" t="str">
        <x:f>IF(COUNT(F56:I56)&lt;4,"",SUM(F56:I56))</x:f>
      </x:c>
      <x:c r="L56" s="17"/>
      <x:c r="M56" s="9" t="str">
        <x:f>IF(OR(C56="",N56="",O56="",D56="",E56="",J56="",L56="",COUNT(F56:I56)&lt;4),"待评审",IF(OR(MIN(F56:I56)&lt;0,MAX(F56:I56)&gt;2),"检查评分",IF(L56="需重做","不采用",IF(AND(D56="合格",E56="合格",J56="合格",MIN(F56:I56)&gt;=1,K56&gt;=6),"采用","门槛不满足，请复核"))))</x:f>
        <x:v>待评审</x:v>
      </x:c>
      <x:c r="N56" s="17"/>
      <x:c r="O56" s="17"/>
    </x:row>
    <x:row r="57" ht="56" customHeight="1">
      <x:c r="A57" s="10" t="str">
        <x:v>B-C11-1</x:v>
      </x:c>
      <x:c r="B57" s="10" t="str">
        <x:v>B-C11</x:v>
      </x:c>
      <x:c r="C57" s="17"/>
      <x:c r="D57" s="17"/>
      <x:c r="E57" s="17"/>
      <x:c r="F57" s="19"/>
      <x:c r="G57" s="19"/>
      <x:c r="H57" s="19"/>
      <x:c r="I57" s="19"/>
      <x:c r="J57" s="19"/>
      <x:c r="K57" s="20" t="str">
        <x:f>IF(COUNT(F57:I57)&lt;4,"",SUM(F57:I57))</x:f>
      </x:c>
      <x:c r="L57" s="17"/>
      <x:c r="M57" s="10" t="str">
        <x:f>IF(OR(C57="",N57="",O57="",D57="",E57="",J57="",L57="",COUNT(F57:I57)&lt;4),"待评审",IF(OR(MIN(F57:I57)&lt;0,MAX(F57:I57)&gt;2),"检查评分",IF(L57="需重做","不采用",IF(AND(D57="合格",E57="合格",J57="合格",MIN(F57:I57)&gt;=1,K57&gt;=6),"采用","门槛不满足，请复核"))))</x:f>
        <x:v>待评审</x:v>
      </x:c>
      <x:c r="N57" s="17"/>
      <x:c r="O57" s="17"/>
    </x:row>
    <x:row r="58" ht="56" customHeight="1">
      <x:c r="A58" s="9" t="str">
        <x:v>B-C11-2</x:v>
      </x:c>
      <x:c r="B58" s="9" t="str">
        <x:v>B-C11</x:v>
      </x:c>
      <x:c r="C58" s="17"/>
      <x:c r="D58" s="17"/>
      <x:c r="E58" s="17"/>
      <x:c r="F58" s="19"/>
      <x:c r="G58" s="19"/>
      <x:c r="H58" s="19"/>
      <x:c r="I58" s="19"/>
      <x:c r="J58" s="19"/>
      <x:c r="K58" s="21" t="str">
        <x:f>IF(COUNT(F58:I58)&lt;4,"",SUM(F58:I58))</x:f>
      </x:c>
      <x:c r="L58" s="17"/>
      <x:c r="M58" s="9" t="str">
        <x:f>IF(OR(C58="",N58="",O58="",D58="",E58="",J58="",L58="",COUNT(F58:I58)&lt;4),"待评审",IF(OR(MIN(F58:I58)&lt;0,MAX(F58:I58)&gt;2),"检查评分",IF(L58="需重做","不采用",IF(AND(D58="合格",E58="合格",J58="合格",MIN(F58:I58)&gt;=1,K58&gt;=6),"采用","门槛不满足，请复核"))))</x:f>
        <x:v>待评审</x:v>
      </x:c>
      <x:c r="N58" s="17"/>
      <x:c r="O58" s="17"/>
    </x:row>
    <x:row r="59" ht="56" customHeight="1">
      <x:c r="A59" s="10" t="str">
        <x:v>B-C12-1</x:v>
      </x:c>
      <x:c r="B59" s="10" t="str">
        <x:v>B-C12</x:v>
      </x:c>
      <x:c r="C59" s="17"/>
      <x:c r="D59" s="17"/>
      <x:c r="E59" s="17"/>
      <x:c r="F59" s="19"/>
      <x:c r="G59" s="19"/>
      <x:c r="H59" s="19"/>
      <x:c r="I59" s="19"/>
      <x:c r="J59" s="19"/>
      <x:c r="K59" s="20" t="str">
        <x:f>IF(COUNT(F59:I59)&lt;4,"",SUM(F59:I59))</x:f>
      </x:c>
      <x:c r="L59" s="17"/>
      <x:c r="M59" s="10" t="str">
        <x:f>IF(OR(C59="",N59="",O59="",D59="",E59="",J59="",L59="",COUNT(F59:I59)&lt;4),"待评审",IF(OR(MIN(F59:I59)&lt;0,MAX(F59:I59)&gt;2),"检查评分",IF(L59="需重做","不采用",IF(AND(D59="合格",E59="合格",J59="合格",MIN(F59:I59)&gt;=1,K59&gt;=6),"采用","门槛不满足，请复核"))))</x:f>
        <x:v>待评审</x:v>
      </x:c>
      <x:c r="N59" s="17"/>
      <x:c r="O59" s="17"/>
    </x:row>
    <x:row r="60" ht="56" customHeight="1">
      <x:c r="A60" s="9" t="str">
        <x:v>B-C12-2</x:v>
      </x:c>
      <x:c r="B60" s="9" t="str">
        <x:v>B-C12</x:v>
      </x:c>
      <x:c r="C60" s="17"/>
      <x:c r="D60" s="17"/>
      <x:c r="E60" s="17"/>
      <x:c r="F60" s="19"/>
      <x:c r="G60" s="19"/>
      <x:c r="H60" s="19"/>
      <x:c r="I60" s="19"/>
      <x:c r="J60" s="19"/>
      <x:c r="K60" s="21" t="str">
        <x:f>IF(COUNT(F60:I60)&lt;4,"",SUM(F60:I60))</x:f>
      </x:c>
      <x:c r="L60" s="17"/>
      <x:c r="M60" s="9" t="str">
        <x:f>IF(OR(C60="",N60="",O60="",D60="",E60="",J60="",L60="",COUNT(F60:I60)&lt;4),"待评审",IF(OR(MIN(F60:I60)&lt;0,MAX(F60:I60)&gt;2),"检查评分",IF(L60="需重做","不采用",IF(AND(D60="合格",E60="合格",J60="合格",MIN(F60:I60)&gt;=1,K60&gt;=6),"采用","门槛不满足，请复核"))))</x:f>
        <x:v>待评审</x:v>
      </x:c>
      <x:c r="N60" s="17"/>
      <x:c r="O60" s="17"/>
    </x:row>
    <x:row r="61" ht="56" customHeight="1">
      <x:c r="A61" s="10" t="str">
        <x:v>B-C13-1</x:v>
      </x:c>
      <x:c r="B61" s="10" t="str">
        <x:v>B-C13</x:v>
      </x:c>
      <x:c r="C61" s="17"/>
      <x:c r="D61" s="17"/>
      <x:c r="E61" s="17"/>
      <x:c r="F61" s="19"/>
      <x:c r="G61" s="19"/>
      <x:c r="H61" s="19"/>
      <x:c r="I61" s="19"/>
      <x:c r="J61" s="19"/>
      <x:c r="K61" s="20" t="str">
        <x:f>IF(COUNT(F61:I61)&lt;4,"",SUM(F61:I61))</x:f>
      </x:c>
      <x:c r="L61" s="17"/>
      <x:c r="M61" s="10" t="str">
        <x:f>IF(OR(C61="",N61="",O61="",D61="",E61="",J61="",L61="",COUNT(F61:I61)&lt;4),"待评审",IF(OR(MIN(F61:I61)&lt;0,MAX(F61:I61)&gt;2),"检查评分",IF(L61="需重做","不采用",IF(AND(D61="合格",E61="合格",J61="合格",MIN(F61:I61)&gt;=1,K61&gt;=6),"采用","门槛不满足，请复核"))))</x:f>
        <x:v>待评审</x:v>
      </x:c>
      <x:c r="N61" s="17"/>
      <x:c r="O61" s="17"/>
    </x:row>
    <x:row r="62" ht="56" customHeight="1">
      <x:c r="A62" s="9" t="str">
        <x:v>B-C13-2</x:v>
      </x:c>
      <x:c r="B62" s="9" t="str">
        <x:v>B-C13</x:v>
      </x:c>
      <x:c r="C62" s="17"/>
      <x:c r="D62" s="17"/>
      <x:c r="E62" s="17"/>
      <x:c r="F62" s="19"/>
      <x:c r="G62" s="19"/>
      <x:c r="H62" s="19"/>
      <x:c r="I62" s="19"/>
      <x:c r="J62" s="19"/>
      <x:c r="K62" s="21" t="str">
        <x:f>IF(COUNT(F62:I62)&lt;4,"",SUM(F62:I62))</x:f>
      </x:c>
      <x:c r="L62" s="17"/>
      <x:c r="M62" s="9" t="str">
        <x:f>IF(OR(C62="",N62="",O62="",D62="",E62="",J62="",L62="",COUNT(F62:I62)&lt;4),"待评审",IF(OR(MIN(F62:I62)&lt;0,MAX(F62:I62)&gt;2),"检查评分",IF(L62="需重做","不采用",IF(AND(D62="合格",E62="合格",J62="合格",MIN(F62:I62)&gt;=1,K62&gt;=6),"采用","门槛不满足，请复核"))))</x:f>
        <x:v>待评审</x:v>
      </x:c>
      <x:c r="N62" s="17"/>
      <x:c r="O62" s="17"/>
    </x:row>
    <x:row r="63" ht="56" customHeight="1">
      <x:c r="A63" s="10" t="str">
        <x:v>B-C14-1</x:v>
      </x:c>
      <x:c r="B63" s="10" t="str">
        <x:v>B-C14</x:v>
      </x:c>
      <x:c r="C63" s="17"/>
      <x:c r="D63" s="17"/>
      <x:c r="E63" s="17"/>
      <x:c r="F63" s="19"/>
      <x:c r="G63" s="19"/>
      <x:c r="H63" s="19"/>
      <x:c r="I63" s="19"/>
      <x:c r="J63" s="19"/>
      <x:c r="K63" s="20" t="str">
        <x:f>IF(COUNT(F63:I63)&lt;4,"",SUM(F63:I63))</x:f>
      </x:c>
      <x:c r="L63" s="17"/>
      <x:c r="M63" s="10" t="str">
        <x:f>IF(OR(C63="",N63="",O63="",D63="",E63="",J63="",L63="",COUNT(F63:I63)&lt;4),"待评审",IF(OR(MIN(F63:I63)&lt;0,MAX(F63:I63)&gt;2),"检查评分",IF(L63="需重做","不采用",IF(AND(D63="合格",E63="合格",J63="合格",MIN(F63:I63)&gt;=1,K63&gt;=6),"采用","门槛不满足，请复核"))))</x:f>
        <x:v>待评审</x:v>
      </x:c>
      <x:c r="N63" s="17"/>
      <x:c r="O63" s="17"/>
    </x:row>
    <x:row r="64" ht="56" customHeight="1">
      <x:c r="A64" s="9" t="str">
        <x:v>B-C14-2</x:v>
      </x:c>
      <x:c r="B64" s="9" t="str">
        <x:v>B-C14</x:v>
      </x:c>
      <x:c r="C64" s="17"/>
      <x:c r="D64" s="17"/>
      <x:c r="E64" s="17"/>
      <x:c r="F64" s="19"/>
      <x:c r="G64" s="19"/>
      <x:c r="H64" s="19"/>
      <x:c r="I64" s="19"/>
      <x:c r="J64" s="19"/>
      <x:c r="K64" s="21" t="str">
        <x:f>IF(COUNT(F64:I64)&lt;4,"",SUM(F64:I64))</x:f>
      </x:c>
      <x:c r="L64" s="17"/>
      <x:c r="M64" s="9" t="str">
        <x:f>IF(OR(C64="",N64="",O64="",D64="",E64="",J64="",L64="",COUNT(F64:I64)&lt;4),"待评审",IF(OR(MIN(F64:I64)&lt;0,MAX(F64:I64)&gt;2),"检查评分",IF(L64="需重做","不采用",IF(AND(D64="合格",E64="合格",J64="合格",MIN(F64:I64)&gt;=1,K64&gt;=6),"采用","门槛不满足，请复核"))))</x:f>
        <x:v>待评审</x:v>
      </x:c>
      <x:c r="N64" s="17"/>
      <x:c r="O64" s="17"/>
    </x:row>
    <x:row r="65" ht="56" customHeight="1">
      <x:c r="A65" s="10" t="str">
        <x:v>B-C15-1</x:v>
      </x:c>
      <x:c r="B65" s="10" t="str">
        <x:v>B-C15</x:v>
      </x:c>
      <x:c r="C65" s="17"/>
      <x:c r="D65" s="17"/>
      <x:c r="E65" s="17"/>
      <x:c r="F65" s="19"/>
      <x:c r="G65" s="19"/>
      <x:c r="H65" s="19"/>
      <x:c r="I65" s="19"/>
      <x:c r="J65" s="19"/>
      <x:c r="K65" s="20" t="str">
        <x:f>IF(COUNT(F65:I65)&lt;4,"",SUM(F65:I65))</x:f>
      </x:c>
      <x:c r="L65" s="17"/>
      <x:c r="M65" s="10" t="str">
        <x:f>IF(OR(C65="",N65="",O65="",D65="",E65="",J65="",L65="",COUNT(F65:I65)&lt;4),"待评审",IF(OR(MIN(F65:I65)&lt;0,MAX(F65:I65)&gt;2),"检查评分",IF(L65="需重做","不采用",IF(AND(D65="合格",E65="合格",J65="合格",MIN(F65:I65)&gt;=1,K65&gt;=6),"采用","门槛不满足，请复核"))))</x:f>
        <x:v>待评审</x:v>
      </x:c>
      <x:c r="N65" s="17"/>
      <x:c r="O65" s="17"/>
    </x:row>
    <x:row r="66" ht="56" customHeight="1">
      <x:c r="A66" s="9" t="str">
        <x:v>B-C15-2</x:v>
      </x:c>
      <x:c r="B66" s="9" t="str">
        <x:v>B-C15</x:v>
      </x:c>
      <x:c r="C66" s="17"/>
      <x:c r="D66" s="17"/>
      <x:c r="E66" s="17"/>
      <x:c r="F66" s="19"/>
      <x:c r="G66" s="19"/>
      <x:c r="H66" s="19"/>
      <x:c r="I66" s="19"/>
      <x:c r="J66" s="19"/>
      <x:c r="K66" s="21" t="str">
        <x:f>IF(COUNT(F66:I66)&lt;4,"",SUM(F66:I66))</x:f>
      </x:c>
      <x:c r="L66" s="17"/>
      <x:c r="M66" s="9" t="str">
        <x:f>IF(OR(C66="",N66="",O66="",D66="",E66="",J66="",L66="",COUNT(F66:I66)&lt;4),"待评审",IF(OR(MIN(F66:I66)&lt;0,MAX(F66:I66)&gt;2),"检查评分",IF(L66="需重做","不采用",IF(AND(D66="合格",E66="合格",J66="合格",MIN(F66:I66)&gt;=1,K66&gt;=6),"采用","门槛不满足，请复核"))))</x:f>
        <x:v>待评审</x:v>
      </x:c>
      <x:c r="N66" s="17"/>
      <x:c r="O66" s="17"/>
    </x:row>
    <x:row r="67" ht="56" customHeight="1">
      <x:c r="A67" s="10" t="str">
        <x:v>B-C16-1</x:v>
      </x:c>
      <x:c r="B67" s="10" t="str">
        <x:v>B-C16</x:v>
      </x:c>
      <x:c r="C67" s="17"/>
      <x:c r="D67" s="17"/>
      <x:c r="E67" s="17"/>
      <x:c r="F67" s="19"/>
      <x:c r="G67" s="19"/>
      <x:c r="H67" s="19"/>
      <x:c r="I67" s="19"/>
      <x:c r="J67" s="19"/>
      <x:c r="K67" s="20" t="str">
        <x:f>IF(COUNT(F67:I67)&lt;4,"",SUM(F67:I67))</x:f>
      </x:c>
      <x:c r="L67" s="17"/>
      <x:c r="M67" s="10" t="str">
        <x:f>IF(OR(C67="",N67="",O67="",D67="",E67="",J67="",L67="",COUNT(F67:I67)&lt;4),"待评审",IF(OR(MIN(F67:I67)&lt;0,MAX(F67:I67)&gt;2),"检查评分",IF(L67="需重做","不采用",IF(AND(D67="合格",E67="合格",J67="合格",MIN(F67:I67)&gt;=1,K67&gt;=6),"采用","门槛不满足，请复核"))))</x:f>
        <x:v>待评审</x:v>
      </x:c>
      <x:c r="N67" s="17"/>
      <x:c r="O67" s="17"/>
    </x:row>
    <x:row r="68" ht="56" customHeight="1">
      <x:c r="A68" s="9" t="str">
        <x:v>B-C16-2</x:v>
      </x:c>
      <x:c r="B68" s="9" t="str">
        <x:v>B-C16</x:v>
      </x:c>
      <x:c r="C68" s="17"/>
      <x:c r="D68" s="17"/>
      <x:c r="E68" s="17"/>
      <x:c r="F68" s="19"/>
      <x:c r="G68" s="19"/>
      <x:c r="H68" s="19"/>
      <x:c r="I68" s="19"/>
      <x:c r="J68" s="19"/>
      <x:c r="K68" s="21" t="str">
        <x:f>IF(COUNT(F68:I68)&lt;4,"",SUM(F68:I68))</x:f>
      </x:c>
      <x:c r="L68" s="17"/>
      <x:c r="M68" s="9" t="str">
        <x:f>IF(OR(C68="",N68="",O68="",D68="",E68="",J68="",L68="",COUNT(F68:I68)&lt;4),"待评审",IF(OR(MIN(F68:I68)&lt;0,MAX(F68:I68)&gt;2),"检查评分",IF(L68="需重做","不采用",IF(AND(D68="合格",E68="合格",J68="合格",MIN(F68:I68)&gt;=1,K68&gt;=6),"采用","门槛不满足，请复核"))))</x:f>
        <x:v>待评审</x:v>
      </x:c>
      <x:c r="N68" s="17"/>
      <x:c r="O68" s="17"/>
    </x:row>
  </x:sheetData>
  <x:conditionalFormatting sqref="M5:M68">
    <x:cfRule type="containsText" dxfId="0" priority="1" operator="containsText" text="复核"/>
  </x:conditionalFormatting>
  <x:dataValidations count="5">
    <x:dataValidation type="list" sqref="D5:D68">
      <x:formula1>"合格,不合格"</x:formula1>
    </x:dataValidation>
    <x:dataValidation type="list" sqref="E5:E68">
      <x:formula1>"合格,不合格"</x:formula1>
    </x:dataValidation>
    <x:dataValidation type="list" sqref="J5:J68">
      <x:formula1>"合格,不合格"</x:formula1>
    </x:dataValidation>
    <x:dataValidation type="list" sqref="L5:L68">
      <x:formula1>"可直接采用,小改后采用,需重做"</x:formula1>
    </x:dataValidation>
    <x:dataValidation type="whole" operator="between" sqref="F5:I68">
      <x:formula1>0</x:formula1>
      <x:formula2>2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21.25" hidden="0" customWidth="1"/>
    <x:col min="3" max="3" width="43.75" hidden="0" customWidth="1"/>
    <x:col min="4" max="4" width="43.75" hidden="0" customWidth="1"/>
    <x:col min="5" max="5" width="47.5" hidden="0" customWidth="1"/>
    <x:col min="6" max="6" width="42.5" hidden="0" customWidth="1"/>
    <x:col min="7" max="7" width="43.75" hidden="0" customWidth="1"/>
    <x:col min="8" max="8" width="29.3799991607666" hidden="0" customWidth="1"/>
  </x:cols>
  <x:sheetData>
    <x:row r="1" ht="12" customHeight="1">
      <x:c r="A1" s="2"/>
      <x:c r="B1" s="2"/>
      <x:c r="C1" s="2"/>
      <x:c r="D1" s="2"/>
      <x:c r="E1" s="2"/>
      <x:c r="F1" s="2"/>
      <x:c r="G1" s="2"/>
      <x:c r="H1" s="2"/>
    </x:row>
    <x:row r="2" ht="30" customHeight="1">
      <x:c r="A2" s="3" t="str">
        <x:v>Badcase 记录与证据边界</x:v>
      </x:c>
      <x:c r="B2" s="2"/>
      <x:c r="C2" s="2"/>
      <x:c r="D2" s="2"/>
      <x:c r="E2" s="2"/>
      <x:c r="F2" s="2"/>
      <x:c r="G2" s="2"/>
      <x:c r="H2" s="2"/>
    </x:row>
    <x:row r="3" ht="32" customHeight="1">
      <x:c r="A3" s="4" t="str">
        <x:v>区分用户反馈、静态代码缺口与模拟演练；所有回归结果等待真实执行。</x:v>
      </x:c>
      <x:c r="B3" s="2"/>
      <x:c r="C3" s="2"/>
      <x:c r="D3" s="2"/>
      <x:c r="E3" s="2"/>
      <x:c r="F3" s="2"/>
      <x:c r="G3" s="2"/>
      <x:c r="H3" s="2"/>
    </x:row>
    <x:row r="4" ht="34" customHeight="1">
      <x:c r="A4" s="8" t="str">
        <x:v>编号</x:v>
      </x:c>
      <x:c r="B4" s="8" t="str">
        <x:v>问题</x:v>
      </x:c>
      <x:c r="C4" s="8" t="str">
        <x:v>来源与证据级别</x:v>
      </x:c>
      <x:c r="D4" s="8" t="str">
        <x:v>预期和实际</x:v>
      </x:c>
      <x:c r="E4" s="8" t="str">
        <x:v>归因与待验证假设</x:v>
      </x:c>
      <x:c r="F4" s="8" t="str">
        <x:v>修复方向</x:v>
      </x:c>
      <x:c r="G4" s="8" t="str">
        <x:v>回归检查</x:v>
      </x:c>
      <x:c r="H4" s="8" t="str">
        <x:v>当前状态</x:v>
      </x:c>
    </x:row>
    <x:row r="5" ht="110" customHeight="1">
      <x:c r="A5" s="10" t="str">
        <x:v>BC01</x:v>
      </x:c>
      <x:c r="B5" s="10" t="str">
        <x:v>视觉方向趋同</x:v>
      </x:c>
      <x:c r="C5" s="10" t="str">
        <x:v>来源：用户实际反馈“灰色、没有设计感、固定字体排版”。尚未关联具体 job 与原始输出，不能写成已完成线上归因。</x:v>
      </x:c>
      <x:c r="D5" s="10" t="str">
        <x:v>预期：同商品得到两个完整、有明显视觉差异的设计方向。实际反馈：空背景、固定布局；待补图例、case_id 与版本。</x:v>
      </x:c>
      <x:c r="E5" s="10" t="str">
        <x:v>已确认代码：策略要求空桌面/无道具，只有一张背景；合成仅 center/right，固定字体颜色。假设：这些限制压低了差异与层次，需同输入消融验证。</x:v>
      </x:c>
      <x:c r="F5" s="10" t="str">
        <x:v>改进：先输出两份独立设计 brief，再分别生成与合成。先改策略与布局映射，保持模型和候选数不变。</x:v>
      </x:c>
      <x:c r="G5" s="10" t="str">
        <x:v>C01–C04 调试；C05–C08 验收；保护 C04 极简。比较事实准确、采用、差异与耗时成本。</x:v>
      </x:c>
      <x:c r="H5" s="10" t="str">
        <x:v>待关联真实输出；改进与回归未执行</x:v>
      </x:c>
    </x:row>
    <x:row r="6" ht="110" customHeight="1">
      <x:c r="A6" s="9" t="str">
        <x:v>BC02</x:v>
      </x:c>
      <x:c r="B6" s="9" t="str">
        <x:v>策略字段未落到画布</x:v>
      </x:c>
      <x:c r="C6" s="9" t="str">
        <x:v>来源：静态代码审查。规划输出 textColor，但 Canvas 文案用固定深色。此条是已发现的实现缺口，不是已测到的错误发生率。</x:v>
      </x:c>
      <x:c r="D6" s="9" t="str">
        <x:v>预期：深背景配浅文字，并保留足够可读性。可能影响：策略指定浅色但输出仍深色。需保存深背景对比图。</x:v>
      </x:c>
      <x:c r="E6" s="9" t="str">
        <x:v>链路：规划结果 → 合成参数。可以确认字段没被消费；是否在某张图造成不可读需实际截图与颜色证据。</x:v>
      </x:c>
      <x:c r="F6" s="9" t="str">
        <x:v>将 textColor 和 layout 显式映射为受约束的渲染配置；检查安全区和长文案换行。</x:v>
      </x:c>
      <x:c r="G6" s="9" t="str">
        <x:v>用相同背景与文案，覆盖深/浅背景、长标题、3:4。先做无需模型的渲染验证。</x:v>
      </x:c>
      <x:c r="H6" s="9" t="str">
        <x:v>静态缺口已确认，视觉影响待验证</x:v>
      </x:c>
    </x:row>
    <x:row r="7" ht="110" customHeight="1">
      <x:c r="A7" s="10" t="str">
        <x:v>BC03</x:v>
      </x:c>
      <x:c r="B7" s="10" t="str">
        <x:v>生图成功但保存失败</x:v>
      </x:c>
      <x:c r="C7" s="10" t="str">
        <x:v>来源：已有 Badcase 页面中的 MOCK 故障演练。全部过程和请求数应标模拟，不能当作生产日志。</x:v>
      </x:c>
      <x:c r="D7" s="10" t="str">
        <x:v>预期：模型产出保留引用，恢复存储后可查看成品。模拟实际：生成阶段成功，保存阶段失败，整体无法交付。</x:v>
      </x:c>
      <x:c r="E7" s="10" t="str">
        <x:v>假设故障点为 storage，而非模型。排查需 provider_request_id、生成输出引用、存储错误码、重试路径；目前演练不能证明线上根因。</x:v>
      </x:c>
      <x:c r="F7" s="10" t="str">
        <x:v>按阶段记录状态；持久化可恢复引用；重试只恢复保存。演练中验证生图请求数不增加，生产仍需真实 trace。</x:v>
      </x:c>
      <x:c r="G7" s="10" t="str">
        <x:v>C18；同时覆盖重复保存幂等与旧版本不覆盖。保存恢复、可读取、无新增生图调用三项都通过才关闭。</x:v>
      </x:c>
      <x:c r="H7" s="10" t="str">
        <x:v>模拟复盘框架已存在，真实故障结论未建立</x:v>
      </x:c>
    </x:row>
  </x:sheetData>
  <x:pageMargins left="0.7" right="0.7" top="0.75" bottom="0.75" header="0.3" footer="0.3"/>
</x:worksheet>
</file>